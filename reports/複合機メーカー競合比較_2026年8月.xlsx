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 sheetId="1" state="visible" r:id="rId3"/>
    <sheet name="サマリー" sheetId="2" state="visible" r:id="rId4"/>
    <sheet name="市場概況" sheetId="3" state="visible" r:id="rId5"/>
    <sheet name="競合比較マトリクス" sheetId="4" state="visible" r:id="rId6"/>
    <sheet name="製品ラインナップ" sheetId="5" state="visible" r:id="rId7"/>
    <sheet name="価格・速度分析" sheetId="6" state="visible" r:id="rId8"/>
    <sheet name="機能・サービス評価" sheetId="7" state="visible" r:id="rId9"/>
    <sheet name="各社SWOT" sheetId="8" state="visible" r:id="rId10"/>
    <sheet name="出典・注記"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<sst xmlns="http://schemas.openxmlformats.org/spreadsheetml/2006/main" count="933" uniqueCount="589">
  <si>
    <t xml:space="preserve">複合機メーカー 競合比較分析</t>
  </si>
  <si>
    <r>
      <rPr>
        <sz val="13"/>
        <color rgb="FF2E5395"/>
        <rFont val="WenQuanYi Zen Hei"/>
        <family val="2"/>
      </rPr>
      <t xml:space="preserve">― 現在販売中のオフィス向け複合機（</t>
    </r>
    <r>
      <rPr>
        <sz val="13"/>
        <color rgb="FF2E5395"/>
        <rFont val="Meiryo UI"/>
        <family val="0"/>
        <charset val="1"/>
      </rPr>
      <t xml:space="preserve">MFP</t>
    </r>
    <r>
      <rPr>
        <sz val="13"/>
        <color rgb="FF2E5395"/>
        <rFont val="WenQuanYi Zen Hei"/>
        <family val="2"/>
      </rPr>
      <t xml:space="preserve">）</t>
    </r>
    <r>
      <rPr>
        <sz val="13"/>
        <color rgb="FF2E5395"/>
        <rFont val="Meiryo UI"/>
        <family val="0"/>
        <charset val="1"/>
      </rPr>
      <t xml:space="preserve">5</t>
    </r>
    <r>
      <rPr>
        <sz val="13"/>
        <color rgb="FF2E5395"/>
        <rFont val="WenQuanYi Zen Hei"/>
        <family val="2"/>
      </rPr>
      <t xml:space="preserve">社比較 ―</t>
    </r>
  </si>
  <si>
    <t xml:space="preserve">対象企業：富士フイルムビジネスイノベーション／キヤノン／リコー／シャープ／コニカミノルタ</t>
  </si>
  <si>
    <r>
      <rPr>
        <sz val="10"/>
        <color rgb="FF808080"/>
        <rFont val="WenQuanYi Zen Hei"/>
        <family val="2"/>
      </rPr>
      <t xml:space="preserve">作成日：</t>
    </r>
    <r>
      <rPr>
        <sz val="10"/>
        <color rgb="FF808080"/>
        <rFont val="Meiryo UI"/>
        <family val="0"/>
        <charset val="1"/>
      </rPr>
      <t xml:space="preserve">2026</t>
    </r>
    <r>
      <rPr>
        <sz val="10"/>
        <color rgb="FF808080"/>
        <rFont val="WenQuanYi Zen Hei"/>
        <family val="2"/>
      </rPr>
      <t xml:space="preserve">年</t>
    </r>
    <r>
      <rPr>
        <sz val="10"/>
        <color rgb="FF808080"/>
        <rFont val="Meiryo UI"/>
        <family val="0"/>
        <charset val="1"/>
      </rPr>
      <t xml:space="preserve">8</t>
    </r>
    <r>
      <rPr>
        <sz val="10"/>
        <color rgb="FF808080"/>
        <rFont val="WenQuanYi Zen Hei"/>
        <family val="2"/>
      </rPr>
      <t xml:space="preserve">月</t>
    </r>
    <r>
      <rPr>
        <sz val="10"/>
        <color rgb="FF808080"/>
        <rFont val="Meiryo UI"/>
        <family val="0"/>
        <charset val="1"/>
      </rPr>
      <t xml:space="preserve">19</t>
    </r>
    <r>
      <rPr>
        <sz val="10"/>
        <color rgb="FF808080"/>
        <rFont val="WenQuanYi Zen Hei"/>
        <family val="2"/>
      </rPr>
      <t xml:space="preserve">日　　情報基準日：</t>
    </r>
    <r>
      <rPr>
        <sz val="10"/>
        <color rgb="FF808080"/>
        <rFont val="Meiryo UI"/>
        <family val="0"/>
        <charset val="1"/>
      </rPr>
      <t xml:space="preserve">2026</t>
    </r>
    <r>
      <rPr>
        <sz val="10"/>
        <color rgb="FF808080"/>
        <rFont val="WenQuanYi Zen Hei"/>
        <family val="2"/>
      </rPr>
      <t xml:space="preserve">年</t>
    </r>
    <r>
      <rPr>
        <sz val="10"/>
        <color rgb="FF808080"/>
        <rFont val="Meiryo UI"/>
        <family val="0"/>
        <charset val="1"/>
      </rPr>
      <t xml:space="preserve">8</t>
    </r>
    <r>
      <rPr>
        <sz val="10"/>
        <color rgb="FF808080"/>
        <rFont val="WenQuanYi Zen Hei"/>
        <family val="2"/>
      </rPr>
      <t xml:space="preserve">月時点の公開情報</t>
    </r>
  </si>
  <si>
    <t xml:space="preserve">本レポートの構成（目次）</t>
  </si>
  <si>
    <t xml:space="preserve">シート名</t>
  </si>
  <si>
    <t xml:space="preserve">内容</t>
  </si>
  <si>
    <t xml:space="preserve">サマリー</t>
  </si>
  <si>
    <t xml:space="preserve">エグゼクティブサマリー：市場環境、競合ポジション、主要ファインディングス、示唆</t>
  </si>
  <si>
    <t xml:space="preserve">市場概況</t>
  </si>
  <si>
    <t xml:space="preserve">国内複合機市場の規模・推移、メーカー別シェア、市場トレンド、業界再編の動き</t>
  </si>
  <si>
    <t xml:space="preserve">競合比較マトリクス</t>
  </si>
  <si>
    <r>
      <rPr>
        <sz val="10"/>
        <color rgb="FF000000"/>
        <rFont val="Meiryo UI"/>
        <family val="0"/>
        <charset val="1"/>
      </rPr>
      <t xml:space="preserve">5</t>
    </r>
    <r>
      <rPr>
        <sz val="10"/>
        <color rgb="FF000000"/>
        <rFont val="WenQuanYi Zen Hei"/>
        <family val="2"/>
      </rPr>
      <t xml:space="preserve">社</t>
    </r>
    <r>
      <rPr>
        <sz val="10"/>
        <color rgb="FF000000"/>
        <rFont val="Meiryo UI"/>
        <family val="0"/>
        <charset val="1"/>
      </rPr>
      <t xml:space="preserve">×</t>
    </r>
    <r>
      <rPr>
        <sz val="10"/>
        <color rgb="FF000000"/>
        <rFont val="WenQuanYi Zen Hei"/>
        <family val="2"/>
      </rPr>
      <t xml:space="preserve">主要</t>
    </r>
    <r>
      <rPr>
        <sz val="10"/>
        <color rgb="FF000000"/>
        <rFont val="Meiryo UI"/>
        <family val="0"/>
        <charset val="1"/>
      </rPr>
      <t xml:space="preserve">18</t>
    </r>
    <r>
      <rPr>
        <sz val="10"/>
        <color rgb="FF000000"/>
        <rFont val="WenQuanYi Zen Hei"/>
        <family val="2"/>
      </rPr>
      <t xml:space="preserve">項目の総合比較表（事業規模、製品、機能、保守、環境、戦略）</t>
    </r>
  </si>
  <si>
    <t xml:space="preserve">製品ラインナップ</t>
  </si>
  <si>
    <r>
      <rPr>
        <sz val="10"/>
        <color rgb="FF000000"/>
        <rFont val="WenQuanYi Zen Hei"/>
        <family val="2"/>
      </rPr>
      <t xml:space="preserve">各社の現行</t>
    </r>
    <r>
      <rPr>
        <sz val="10"/>
        <color rgb="FF000000"/>
        <rFont val="Meiryo UI"/>
        <family val="0"/>
        <charset val="1"/>
      </rPr>
      <t xml:space="preserve">A3</t>
    </r>
    <r>
      <rPr>
        <sz val="10"/>
        <color rgb="FF000000"/>
        <rFont val="WenQuanYi Zen Hei"/>
        <family val="2"/>
      </rPr>
      <t xml:space="preserve">カラー機を中心とした機種別一覧（速度・標準価格・発売時期）</t>
    </r>
  </si>
  <si>
    <t xml:space="preserve">価格・速度分析</t>
  </si>
  <si>
    <r>
      <rPr>
        <sz val="10"/>
        <color rgb="FF000000"/>
        <rFont val="WenQuanYi Zen Hei"/>
        <family val="2"/>
      </rPr>
      <t xml:space="preserve">速度帯別の代表機種価格比較、</t>
    </r>
    <r>
      <rPr>
        <sz val="10"/>
        <color rgb="FF000000"/>
        <rFont val="Meiryo UI"/>
        <family val="0"/>
        <charset val="1"/>
      </rPr>
      <t xml:space="preserve">1ppm</t>
    </r>
    <r>
      <rPr>
        <sz val="10"/>
        <color rgb="FF000000"/>
        <rFont val="WenQuanYi Zen Hei"/>
        <family val="2"/>
      </rPr>
      <t xml:space="preserve">当たり価格、保守料金相場</t>
    </r>
  </si>
  <si>
    <t xml:space="preserve">機能・サービス評価</t>
  </si>
  <si>
    <r>
      <rPr>
        <sz val="10"/>
        <color rgb="FF000000"/>
        <rFont val="Meiryo UI"/>
        <family val="0"/>
        <charset val="1"/>
      </rPr>
      <t xml:space="preserve">8</t>
    </r>
    <r>
      <rPr>
        <sz val="10"/>
        <color rgb="FF000000"/>
        <rFont val="WenQuanYi Zen Hei"/>
        <family val="2"/>
      </rPr>
      <t xml:space="preserve">評価軸</t>
    </r>
    <r>
      <rPr>
        <sz val="10"/>
        <color rgb="FF000000"/>
        <rFont val="Meiryo UI"/>
        <family val="0"/>
        <charset val="1"/>
      </rPr>
      <t xml:space="preserve">×5</t>
    </r>
    <r>
      <rPr>
        <sz val="10"/>
        <color rgb="FF000000"/>
        <rFont val="WenQuanYi Zen Hei"/>
        <family val="2"/>
      </rPr>
      <t xml:space="preserve">社のスコアリング（</t>
    </r>
    <r>
      <rPr>
        <sz val="10"/>
        <color rgb="FF000000"/>
        <rFont val="Meiryo UI"/>
        <family val="0"/>
        <charset val="1"/>
      </rPr>
      <t xml:space="preserve">5</t>
    </r>
    <r>
      <rPr>
        <sz val="10"/>
        <color rgb="FF000000"/>
        <rFont val="WenQuanYi Zen Hei"/>
        <family val="2"/>
      </rPr>
      <t xml:space="preserve">段階の定性評価）と総合順位</t>
    </r>
  </si>
  <si>
    <r>
      <rPr>
        <b val="true"/>
        <sz val="10"/>
        <color rgb="FF1F3864"/>
        <rFont val="WenQuanYi Zen Hei"/>
        <family val="2"/>
      </rPr>
      <t xml:space="preserve">各社</t>
    </r>
    <r>
      <rPr>
        <b val="true"/>
        <sz val="10"/>
        <color rgb="FF1F3864"/>
        <rFont val="Meiryo UI"/>
        <family val="0"/>
        <charset val="1"/>
      </rPr>
      <t xml:space="preserve">SWOT</t>
    </r>
  </si>
  <si>
    <r>
      <rPr>
        <sz val="10"/>
        <color rgb="FF000000"/>
        <rFont val="Meiryo UI"/>
        <family val="0"/>
        <charset val="1"/>
      </rPr>
      <t xml:space="preserve">5</t>
    </r>
    <r>
      <rPr>
        <sz val="10"/>
        <color rgb="FF000000"/>
        <rFont val="WenQuanYi Zen Hei"/>
        <family val="2"/>
      </rPr>
      <t xml:space="preserve">社それぞれの強み・弱み・機会・脅威</t>
    </r>
  </si>
  <si>
    <t xml:space="preserve">出典・注記</t>
  </si>
  <si>
    <t xml:space="preserve">前提条件、データの制約、出典一覧</t>
  </si>
  <si>
    <t xml:space="preserve">重要な前提（必ずご確認ください）</t>
  </si>
  <si>
    <t xml:space="preserve">エグゼクティブサマリー</t>
  </si>
  <si>
    <r>
      <rPr>
        <b val="true"/>
        <sz val="11"/>
        <color rgb="FFFFFFFF"/>
        <rFont val="Meiryo UI"/>
        <family val="0"/>
        <charset val="1"/>
      </rPr>
      <t xml:space="preserve">1. </t>
    </r>
    <r>
      <rPr>
        <b val="true"/>
        <sz val="11"/>
        <color rgb="FFFFFFFF"/>
        <rFont val="WenQuanYi Zen Hei"/>
        <family val="2"/>
      </rPr>
      <t xml:space="preserve">市場環境 ― 構造的な縮小の中で「世代交代」と「再編」が同時進行</t>
    </r>
  </si>
  <si>
    <r>
      <rPr>
        <sz val="10"/>
        <color rgb="FF000000"/>
        <rFont val="WenQuanYi Zen Hei"/>
        <family val="2"/>
      </rPr>
      <t xml:space="preserve">■ 国内</t>
    </r>
    <r>
      <rPr>
        <sz val="10"/>
        <color rgb="FF000000"/>
        <rFont val="Meiryo UI"/>
        <family val="0"/>
        <charset val="1"/>
      </rPr>
      <t xml:space="preserve">A3</t>
    </r>
    <r>
      <rPr>
        <sz val="10"/>
        <color rgb="FF000000"/>
        <rFont val="WenQuanYi Zen Hei"/>
        <family val="2"/>
      </rPr>
      <t xml:space="preserve">複合機の出荷台数は</t>
    </r>
    <r>
      <rPr>
        <sz val="10"/>
        <color rgb="FF000000"/>
        <rFont val="Meiryo UI"/>
        <family val="0"/>
        <charset val="1"/>
      </rPr>
      <t xml:space="preserve">2024</t>
    </r>
    <r>
      <rPr>
        <sz val="10"/>
        <color rgb="FF000000"/>
        <rFont val="WenQuanYi Zen Hei"/>
        <family val="2"/>
      </rPr>
      <t xml:space="preserve">年約</t>
    </r>
    <r>
      <rPr>
        <sz val="10"/>
        <color rgb="FF000000"/>
        <rFont val="Meiryo UI"/>
        <family val="0"/>
        <charset val="1"/>
      </rPr>
      <t xml:space="preserve">45</t>
    </r>
    <r>
      <rPr>
        <sz val="10"/>
        <color rgb="FF000000"/>
        <rFont val="WenQuanYi Zen Hei"/>
        <family val="2"/>
      </rPr>
      <t xml:space="preserve">万台。ピーク（</t>
    </r>
    <r>
      <rPr>
        <sz val="10"/>
        <color rgb="FF000000"/>
        <rFont val="Meiryo UI"/>
        <family val="0"/>
        <charset val="1"/>
      </rPr>
      <t xml:space="preserve">65</t>
    </r>
    <r>
      <rPr>
        <sz val="10"/>
        <color rgb="FF000000"/>
        <rFont val="WenQuanYi Zen Hei"/>
        <family val="2"/>
      </rPr>
      <t xml:space="preserve">万台超）比で約</t>
    </r>
    <r>
      <rPr>
        <sz val="10"/>
        <color rgb="FF000000"/>
        <rFont val="Meiryo UI"/>
        <family val="0"/>
        <charset val="1"/>
      </rPr>
      <t xml:space="preserve">3</t>
    </r>
    <r>
      <rPr>
        <sz val="10"/>
        <color rgb="FF000000"/>
        <rFont val="WenQuanYi Zen Hei"/>
        <family val="2"/>
      </rPr>
      <t xml:space="preserve">割減、コロナ前（約</t>
    </r>
    <r>
      <rPr>
        <sz val="10"/>
        <color rgb="FF000000"/>
        <rFont val="Meiryo UI"/>
        <family val="0"/>
        <charset val="1"/>
      </rPr>
      <t xml:space="preserve">55</t>
    </r>
    <r>
      <rPr>
        <sz val="10"/>
        <color rgb="FF000000"/>
        <rFont val="WenQuanYi Zen Hei"/>
        <family val="2"/>
      </rPr>
      <t xml:space="preserve">万台）にも戻らない構造的縮小。</t>
    </r>
  </si>
  <si>
    <r>
      <rPr>
        <sz val="10"/>
        <color rgb="FF000000"/>
        <rFont val="WenQuanYi Zen Hei"/>
        <family val="2"/>
      </rPr>
      <t xml:space="preserve">■ ペーパーレス化・</t>
    </r>
    <r>
      <rPr>
        <sz val="10"/>
        <color rgb="FF000000"/>
        <rFont val="Meiryo UI"/>
        <family val="0"/>
        <charset val="1"/>
      </rPr>
      <t xml:space="preserve">A4</t>
    </r>
    <r>
      <rPr>
        <sz val="10"/>
        <color rgb="FF000000"/>
        <rFont val="WenQuanYi Zen Hei"/>
        <family val="2"/>
      </rPr>
      <t xml:space="preserve">シフトが進む一方、各社はハード販売からクラウド・</t>
    </r>
    <r>
      <rPr>
        <sz val="10"/>
        <color rgb="FF000000"/>
        <rFont val="Meiryo UI"/>
        <family val="0"/>
        <charset val="1"/>
      </rPr>
      <t xml:space="preserve">DX</t>
    </r>
    <r>
      <rPr>
        <sz val="10"/>
        <color rgb="FF000000"/>
        <rFont val="WenQuanYi Zen Hei"/>
        <family val="2"/>
      </rPr>
      <t xml:space="preserve">・保守サービス等のストック型収益へ軸足を移行。</t>
    </r>
  </si>
  <si>
    <r>
      <rPr>
        <sz val="10"/>
        <color rgb="FF000000"/>
        <rFont val="Meiryo UI"/>
        <family val="0"/>
        <charset val="1"/>
      </rPr>
      <t xml:space="preserve">■ 2024</t>
    </r>
    <r>
      <rPr>
        <sz val="10"/>
        <color rgb="FF000000"/>
        <rFont val="WenQuanYi Zen Hei"/>
        <family val="2"/>
      </rPr>
      <t xml:space="preserve">〜</t>
    </r>
    <r>
      <rPr>
        <sz val="10"/>
        <color rgb="FF000000"/>
        <rFont val="Meiryo UI"/>
        <family val="0"/>
        <charset val="1"/>
      </rPr>
      <t xml:space="preserve">2026</t>
    </r>
    <r>
      <rPr>
        <sz val="10"/>
        <color rgb="FF000000"/>
        <rFont val="WenQuanYi Zen Hei"/>
        <family val="2"/>
      </rPr>
      <t xml:space="preserve">年に</t>
    </r>
    <r>
      <rPr>
        <sz val="10"/>
        <color rgb="FF000000"/>
        <rFont val="Meiryo UI"/>
        <family val="0"/>
        <charset val="1"/>
      </rPr>
      <t xml:space="preserve">5</t>
    </r>
    <r>
      <rPr>
        <sz val="10"/>
        <color rgb="FF000000"/>
        <rFont val="WenQuanYi Zen Hei"/>
        <family val="2"/>
      </rPr>
      <t xml:space="preserve">社すべてが主力</t>
    </r>
    <r>
      <rPr>
        <sz val="10"/>
        <color rgb="FF000000"/>
        <rFont val="Meiryo UI"/>
        <family val="0"/>
        <charset val="1"/>
      </rPr>
      <t xml:space="preserve">A3</t>
    </r>
    <r>
      <rPr>
        <sz val="10"/>
        <color rgb="FF000000"/>
        <rFont val="WenQuanYi Zen Hei"/>
        <family val="2"/>
      </rPr>
      <t xml:space="preserve">カラー機の世代交代を完了・進行中。直近ではリコーが</t>
    </r>
    <r>
      <rPr>
        <sz val="10"/>
        <color rgb="FF000000"/>
        <rFont val="Meiryo UI"/>
        <family val="0"/>
        <charset val="1"/>
      </rPr>
      <t xml:space="preserve">2026</t>
    </r>
    <r>
      <rPr>
        <sz val="10"/>
        <color rgb="FF000000"/>
        <rFont val="WenQuanYi Zen Hei"/>
        <family val="2"/>
      </rPr>
      <t xml:space="preserve">年</t>
    </r>
    <r>
      <rPr>
        <sz val="10"/>
        <color rgb="FF000000"/>
        <rFont val="Meiryo UI"/>
        <family val="0"/>
        <charset val="1"/>
      </rPr>
      <t xml:space="preserve">8</t>
    </r>
    <r>
      <rPr>
        <sz val="10"/>
        <color rgb="FF000000"/>
        <rFont val="WenQuanYi Zen Hei"/>
        <family val="2"/>
      </rPr>
      <t xml:space="preserve">月</t>
    </r>
    <r>
      <rPr>
        <sz val="10"/>
        <color rgb="FF000000"/>
        <rFont val="Meiryo UI"/>
        <family val="0"/>
        <charset val="1"/>
      </rPr>
      <t xml:space="preserve">24</t>
    </r>
    <r>
      <rPr>
        <sz val="10"/>
        <color rgb="FF000000"/>
        <rFont val="WenQuanYi Zen Hei"/>
        <family val="2"/>
      </rPr>
      <t xml:space="preserve">日に新標準シリーズを発売。</t>
    </r>
  </si>
  <si>
    <r>
      <rPr>
        <b val="true"/>
        <sz val="11"/>
        <color rgb="FFFFFFFF"/>
        <rFont val="Meiryo UI"/>
        <family val="0"/>
        <charset val="1"/>
      </rPr>
      <t xml:space="preserve">2. </t>
    </r>
    <r>
      <rPr>
        <b val="true"/>
        <sz val="11"/>
        <color rgb="FFFFFFFF"/>
        <rFont val="WenQuanYi Zen Hei"/>
        <family val="2"/>
      </rPr>
      <t xml:space="preserve">競合ポジション（一目でわかる</t>
    </r>
    <r>
      <rPr>
        <b val="true"/>
        <sz val="11"/>
        <color rgb="FFFFFFFF"/>
        <rFont val="Meiryo UI"/>
        <family val="0"/>
        <charset val="1"/>
      </rPr>
      <t xml:space="preserve">5</t>
    </r>
    <r>
      <rPr>
        <b val="true"/>
        <sz val="11"/>
        <color rgb="FFFFFFFF"/>
        <rFont val="WenQuanYi Zen Hei"/>
        <family val="2"/>
      </rPr>
      <t xml:space="preserve">社の現在地）</t>
    </r>
  </si>
  <si>
    <t xml:space="preserve">項目</t>
  </si>
  <si>
    <r>
      <rPr>
        <b val="true"/>
        <sz val="10"/>
        <color rgb="FFFFFFFF"/>
        <rFont val="WenQuanYi Zen Hei"/>
        <family val="2"/>
      </rPr>
      <t xml:space="preserve">富士フイルム</t>
    </r>
    <r>
      <rPr>
        <b val="true"/>
        <sz val="10"/>
        <color rgb="FFFFFFFF"/>
        <rFont val="Meiryo UI"/>
        <family val="0"/>
        <charset val="1"/>
      </rPr>
      <t xml:space="preserve">BI</t>
    </r>
  </si>
  <si>
    <t xml:space="preserve">キヤノン</t>
  </si>
  <si>
    <t xml:space="preserve">リコー</t>
  </si>
  <si>
    <t xml:space="preserve">シャープ</t>
  </si>
  <si>
    <t xml:space="preserve">コニカミノルタ</t>
  </si>
  <si>
    <t xml:space="preserve">国内ポジション（推定）</t>
  </si>
  <si>
    <r>
      <rPr>
        <sz val="9"/>
        <color rgb="FF000000"/>
        <rFont val="WenQuanYi Zen Hei"/>
        <family val="2"/>
      </rPr>
      <t xml:space="preserve">リコーと並ぶ</t>
    </r>
    <r>
      <rPr>
        <sz val="9"/>
        <color rgb="FF000000"/>
        <rFont val="Meiryo UI"/>
        <family val="0"/>
        <charset val="1"/>
      </rPr>
      <t xml:space="preserve">2</t>
    </r>
    <r>
      <rPr>
        <sz val="9"/>
        <color rgb="FF000000"/>
        <rFont val="WenQuanYi Zen Hei"/>
        <family val="2"/>
      </rPr>
      <t xml:space="preserve">強の一角（約</t>
    </r>
    <r>
      <rPr>
        <sz val="9"/>
        <color rgb="FF000000"/>
        <rFont val="Meiryo UI"/>
        <family val="0"/>
        <charset val="1"/>
      </rPr>
      <t xml:space="preserve">3</t>
    </r>
    <r>
      <rPr>
        <sz val="9"/>
        <color rgb="FF000000"/>
        <rFont val="WenQuanYi Zen Hei"/>
        <family val="2"/>
      </rPr>
      <t xml:space="preserve">割とする調査）</t>
    </r>
  </si>
  <si>
    <r>
      <rPr>
        <sz val="9"/>
        <color rgb="FF000000"/>
        <rFont val="WenQuanYi Zen Hei"/>
        <family val="2"/>
      </rPr>
      <t xml:space="preserve">出荷台数</t>
    </r>
    <r>
      <rPr>
        <sz val="9"/>
        <color rgb="FF000000"/>
        <rFont val="Meiryo UI"/>
        <family val="0"/>
        <charset val="1"/>
      </rPr>
      <t xml:space="preserve">1</t>
    </r>
    <r>
      <rPr>
        <sz val="9"/>
        <color rgb="FF000000"/>
        <rFont val="WenQuanYi Zen Hei"/>
        <family val="2"/>
      </rPr>
      <t xml:space="preserve">位とする報道あり・</t>
    </r>
    <r>
      <rPr>
        <sz val="9"/>
        <color rgb="FF000000"/>
        <rFont val="Meiryo UI"/>
        <family val="0"/>
        <charset val="1"/>
      </rPr>
      <t xml:space="preserve">3</t>
    </r>
    <r>
      <rPr>
        <sz val="9"/>
        <color rgb="FF000000"/>
        <rFont val="WenQuanYi Zen Hei"/>
        <family val="2"/>
      </rPr>
      <t xml:space="preserve">強の一角</t>
    </r>
  </si>
  <si>
    <r>
      <rPr>
        <sz val="9"/>
        <color rgb="FF000000"/>
        <rFont val="Meiryo UI"/>
        <family val="0"/>
        <charset val="1"/>
      </rPr>
      <t xml:space="preserve">2</t>
    </r>
    <r>
      <rPr>
        <sz val="9"/>
        <color rgb="FF000000"/>
        <rFont val="WenQuanYi Zen Hei"/>
        <family val="2"/>
      </rPr>
      <t xml:space="preserve">強の一角（約</t>
    </r>
    <r>
      <rPr>
        <sz val="9"/>
        <color rgb="FF000000"/>
        <rFont val="Meiryo UI"/>
        <family val="0"/>
        <charset val="1"/>
      </rPr>
      <t xml:space="preserve">3</t>
    </r>
    <r>
      <rPr>
        <sz val="9"/>
        <color rgb="FF000000"/>
        <rFont val="WenQuanYi Zen Hei"/>
        <family val="2"/>
      </rPr>
      <t xml:space="preserve">割とする調査）</t>
    </r>
  </si>
  <si>
    <r>
      <rPr>
        <sz val="9"/>
        <color rgb="FF000000"/>
        <rFont val="Meiryo UI"/>
        <family val="0"/>
        <charset val="1"/>
      </rPr>
      <t xml:space="preserve">4</t>
    </r>
    <r>
      <rPr>
        <sz val="9"/>
        <color rgb="FF000000"/>
        <rFont val="WenQuanYi Zen Hei"/>
        <family val="2"/>
      </rPr>
      <t xml:space="preserve">位圏（約</t>
    </r>
    <r>
      <rPr>
        <sz val="9"/>
        <color rgb="FF000000"/>
        <rFont val="Meiryo UI"/>
        <family val="0"/>
        <charset val="1"/>
      </rPr>
      <t xml:space="preserve">8%</t>
    </r>
    <r>
      <rPr>
        <sz val="9"/>
        <color rgb="FF000000"/>
        <rFont val="WenQuanYi Zen Hei"/>
        <family val="2"/>
      </rPr>
      <t xml:space="preserve">とする調査）※コンビニ複合機は国内</t>
    </r>
    <r>
      <rPr>
        <sz val="9"/>
        <color rgb="FF000000"/>
        <rFont val="Meiryo UI"/>
        <family val="0"/>
        <charset val="1"/>
      </rPr>
      <t xml:space="preserve">1</t>
    </r>
    <r>
      <rPr>
        <sz val="9"/>
        <color rgb="FF000000"/>
        <rFont val="WenQuanYi Zen Hei"/>
        <family val="2"/>
      </rPr>
      <t xml:space="preserve">位</t>
    </r>
  </si>
  <si>
    <r>
      <rPr>
        <sz val="9"/>
        <color rgb="FF000000"/>
        <rFont val="Meiryo UI"/>
        <family val="0"/>
        <charset val="1"/>
      </rPr>
      <t xml:space="preserve">5</t>
    </r>
    <r>
      <rPr>
        <sz val="9"/>
        <color rgb="FF000000"/>
        <rFont val="WenQuanYi Zen Hei"/>
        <family val="2"/>
      </rPr>
      <t xml:space="preserve">位圏（国内より欧米に強い）</t>
    </r>
  </si>
  <si>
    <t xml:space="preserve">複合機関連 売上規模</t>
  </si>
  <si>
    <r>
      <rPr>
        <sz val="9"/>
        <color rgb="FF000000"/>
        <rFont val="Meiryo UI"/>
        <family val="0"/>
        <charset val="1"/>
      </rPr>
      <t xml:space="preserve">1</t>
    </r>
    <r>
      <rPr>
        <sz val="9"/>
        <color rgb="FF000000"/>
        <rFont val="WenQuanYi Zen Hei"/>
        <family val="2"/>
      </rPr>
      <t xml:space="preserve">兆</t>
    </r>
    <r>
      <rPr>
        <sz val="9"/>
        <color rgb="FF000000"/>
        <rFont val="Meiryo UI"/>
        <family val="0"/>
        <charset val="1"/>
      </rPr>
      <t xml:space="preserve">1,748</t>
    </r>
    <r>
      <rPr>
        <sz val="9"/>
        <color rgb="FF000000"/>
        <rFont val="WenQuanYi Zen Hei"/>
        <family val="2"/>
      </rPr>
      <t xml:space="preserve">億円（</t>
    </r>
    <r>
      <rPr>
        <sz val="9"/>
        <color rgb="FF000000"/>
        <rFont val="Meiryo UI"/>
        <family val="0"/>
        <charset val="1"/>
      </rPr>
      <t xml:space="preserve">BI</t>
    </r>
    <r>
      <rPr>
        <sz val="9"/>
        <color rgb="FF000000"/>
        <rFont val="WenQuanYi Zen Hei"/>
        <family val="2"/>
      </rPr>
      <t xml:space="preserve">セグメント</t>
    </r>
    <r>
      <rPr>
        <sz val="9"/>
        <color rgb="FF000000"/>
        <rFont val="Meiryo UI"/>
        <family val="0"/>
        <charset val="1"/>
      </rPr>
      <t xml:space="preserve">, FY2025</t>
    </r>
    <r>
      <rPr>
        <sz val="9"/>
        <color rgb="FF000000"/>
        <rFont val="WenQuanYi Zen Hei"/>
        <family val="2"/>
      </rPr>
      <t xml:space="preserve">）</t>
    </r>
  </si>
  <si>
    <r>
      <rPr>
        <sz val="9"/>
        <color rgb="FF000000"/>
        <rFont val="Meiryo UI"/>
        <family val="0"/>
        <charset val="1"/>
      </rPr>
      <t xml:space="preserve">2</t>
    </r>
    <r>
      <rPr>
        <sz val="9"/>
        <color rgb="FF000000"/>
        <rFont val="WenQuanYi Zen Hei"/>
        <family val="2"/>
      </rPr>
      <t xml:space="preserve">兆</t>
    </r>
    <r>
      <rPr>
        <sz val="9"/>
        <color rgb="FF000000"/>
        <rFont val="Meiryo UI"/>
        <family val="0"/>
        <charset val="1"/>
      </rPr>
      <t xml:space="preserve">4,944</t>
    </r>
    <r>
      <rPr>
        <sz val="9"/>
        <color rgb="FF000000"/>
        <rFont val="WenQuanYi Zen Hei"/>
        <family val="2"/>
      </rPr>
      <t xml:space="preserve">億円（プリンティング事業</t>
    </r>
    <r>
      <rPr>
        <sz val="9"/>
        <color rgb="FF000000"/>
        <rFont val="Meiryo UI"/>
        <family val="0"/>
        <charset val="1"/>
      </rPr>
      <t xml:space="preserve">, 2025/12</t>
    </r>
    <r>
      <rPr>
        <sz val="9"/>
        <color rgb="FF000000"/>
        <rFont val="WenQuanYi Zen Hei"/>
        <family val="2"/>
      </rPr>
      <t xml:space="preserve">期）</t>
    </r>
  </si>
  <si>
    <r>
      <rPr>
        <sz val="9"/>
        <color rgb="FF000000"/>
        <rFont val="Meiryo UI"/>
        <family val="0"/>
        <charset val="1"/>
      </rPr>
      <t xml:space="preserve">1</t>
    </r>
    <r>
      <rPr>
        <sz val="9"/>
        <color rgb="FF000000"/>
        <rFont val="WenQuanYi Zen Hei"/>
        <family val="2"/>
      </rPr>
      <t xml:space="preserve">兆</t>
    </r>
    <r>
      <rPr>
        <sz val="9"/>
        <color rgb="FF000000"/>
        <rFont val="Meiryo UI"/>
        <family val="0"/>
        <charset val="1"/>
      </rPr>
      <t xml:space="preserve">9,270</t>
    </r>
    <r>
      <rPr>
        <sz val="9"/>
        <color rgb="FF000000"/>
        <rFont val="WenQuanYi Zen Hei"/>
        <family val="2"/>
      </rPr>
      <t xml:space="preserve">億円（デジタルサービス</t>
    </r>
    <r>
      <rPr>
        <sz val="9"/>
        <color rgb="FF000000"/>
        <rFont val="Meiryo UI"/>
        <family val="0"/>
        <charset val="1"/>
      </rPr>
      <t xml:space="preserve">, FY2025</t>
    </r>
    <r>
      <rPr>
        <sz val="9"/>
        <color rgb="FF000000"/>
        <rFont val="WenQuanYi Zen Hei"/>
        <family val="2"/>
      </rPr>
      <t xml:space="preserve">）</t>
    </r>
  </si>
  <si>
    <r>
      <rPr>
        <sz val="9"/>
        <color rgb="FF000000"/>
        <rFont val="Meiryo UI"/>
        <family val="0"/>
        <charset val="1"/>
      </rPr>
      <t xml:space="preserve">6,806</t>
    </r>
    <r>
      <rPr>
        <sz val="9"/>
        <color rgb="FF000000"/>
        <rFont val="WenQuanYi Zen Hei"/>
        <family val="2"/>
      </rPr>
      <t xml:space="preserve">億円（スマートオフィス</t>
    </r>
    <r>
      <rPr>
        <sz val="9"/>
        <color rgb="FF000000"/>
        <rFont val="Meiryo UI"/>
        <family val="0"/>
        <charset val="1"/>
      </rPr>
      <t xml:space="preserve">, FY2024</t>
    </r>
    <r>
      <rPr>
        <sz val="9"/>
        <color rgb="FF000000"/>
        <rFont val="WenQuanYi Zen Hei"/>
        <family val="2"/>
      </rPr>
      <t xml:space="preserve">）</t>
    </r>
  </si>
  <si>
    <r>
      <rPr>
        <sz val="9"/>
        <color rgb="FF000000"/>
        <rFont val="Meiryo UI"/>
        <family val="0"/>
        <charset val="1"/>
      </rPr>
      <t xml:space="preserve">6,204</t>
    </r>
    <r>
      <rPr>
        <sz val="9"/>
        <color rgb="FF000000"/>
        <rFont val="WenQuanYi Zen Hei"/>
        <family val="2"/>
      </rPr>
      <t xml:space="preserve">億円（デジタルワークプレイス</t>
    </r>
    <r>
      <rPr>
        <sz val="9"/>
        <color rgb="FF000000"/>
        <rFont val="Meiryo UI"/>
        <family val="0"/>
        <charset val="1"/>
      </rPr>
      <t xml:space="preserve">, FY2025</t>
    </r>
    <r>
      <rPr>
        <sz val="9"/>
        <color rgb="FF000000"/>
        <rFont val="WenQuanYi Zen Hei"/>
        <family val="2"/>
      </rPr>
      <t xml:space="preserve">）</t>
    </r>
  </si>
  <si>
    <r>
      <rPr>
        <b val="true"/>
        <sz val="9.5"/>
        <color rgb="FF000000"/>
        <rFont val="WenQuanYi Zen Hei"/>
        <family val="2"/>
      </rPr>
      <t xml:space="preserve">現行主力</t>
    </r>
    <r>
      <rPr>
        <b val="true"/>
        <sz val="9.5"/>
        <color rgb="FF000000"/>
        <rFont val="Meiryo UI"/>
        <family val="0"/>
        <charset val="1"/>
      </rPr>
      <t xml:space="preserve">A3</t>
    </r>
    <r>
      <rPr>
        <b val="true"/>
        <sz val="9.5"/>
        <color rgb="FF000000"/>
        <rFont val="WenQuanYi Zen Hei"/>
        <family val="2"/>
      </rPr>
      <t xml:space="preserve">カラー</t>
    </r>
  </si>
  <si>
    <r>
      <rPr>
        <sz val="9"/>
        <color rgb="FF000000"/>
        <rFont val="Meiryo UI"/>
        <family val="0"/>
        <charset val="1"/>
      </rPr>
      <t xml:space="preserve">Apeos </t>
    </r>
    <r>
      <rPr>
        <sz val="9"/>
        <color rgb="FF000000"/>
        <rFont val="WenQuanYi Zen Hei"/>
        <family val="2"/>
      </rPr>
      <t xml:space="preserve">第</t>
    </r>
    <r>
      <rPr>
        <sz val="9"/>
        <color rgb="FF000000"/>
        <rFont val="Meiryo UI"/>
        <family val="0"/>
        <charset val="1"/>
      </rPr>
      <t xml:space="preserve">2</t>
    </r>
    <r>
      <rPr>
        <sz val="9"/>
        <color rgb="FF000000"/>
        <rFont val="WenQuanYi Zen Hei"/>
        <family val="2"/>
      </rPr>
      <t xml:space="preserve">世代（</t>
    </r>
    <r>
      <rPr>
        <sz val="9"/>
        <color rgb="FF000000"/>
        <rFont val="Meiryo UI"/>
        <family val="0"/>
        <charset val="1"/>
      </rPr>
      <t xml:space="preserve">C7071</t>
    </r>
    <r>
      <rPr>
        <sz val="9"/>
        <color rgb="FF000000"/>
        <rFont val="WenQuanYi Zen Hei"/>
        <family val="2"/>
      </rPr>
      <t xml:space="preserve">シリーズ等）</t>
    </r>
    <r>
      <rPr>
        <sz val="9"/>
        <color rgb="FF000000"/>
        <rFont val="Meiryo UI"/>
        <family val="0"/>
        <charset val="1"/>
      </rPr>
      <t xml:space="preserve">2024/10</t>
    </r>
    <r>
      <rPr>
        <sz val="9"/>
        <color rgb="FF000000"/>
        <rFont val="WenQuanYi Zen Hei"/>
        <family val="2"/>
      </rPr>
      <t xml:space="preserve">〜</t>
    </r>
  </si>
  <si>
    <r>
      <rPr>
        <sz val="9"/>
        <color rgb="FF000000"/>
        <rFont val="Meiryo UI"/>
        <family val="0"/>
        <charset val="1"/>
      </rPr>
      <t xml:space="preserve">imageFORCE</t>
    </r>
    <r>
      <rPr>
        <sz val="9"/>
        <color rgb="FF000000"/>
        <rFont val="WenQuanYi Zen Hei"/>
        <family val="2"/>
      </rPr>
      <t xml:space="preserve">（</t>
    </r>
    <r>
      <rPr>
        <sz val="9"/>
        <color rgb="FF000000"/>
        <rFont val="Meiryo UI"/>
        <family val="0"/>
        <charset val="1"/>
      </rPr>
      <t xml:space="preserve">2024/11</t>
    </r>
    <r>
      <rPr>
        <sz val="9"/>
        <color rgb="FF000000"/>
        <rFont val="WenQuanYi Zen Hei"/>
        <family val="2"/>
      </rPr>
      <t xml:space="preserve">〜、</t>
    </r>
    <r>
      <rPr>
        <sz val="9"/>
        <color rgb="FF000000"/>
        <rFont val="Meiryo UI"/>
        <family val="0"/>
        <charset val="1"/>
      </rPr>
      <t xml:space="preserve">2025/8</t>
    </r>
    <r>
      <rPr>
        <sz val="9"/>
        <color rgb="FF000000"/>
        <rFont val="WenQuanYi Zen Hei"/>
        <family val="2"/>
      </rPr>
      <t xml:space="preserve">に</t>
    </r>
    <r>
      <rPr>
        <sz val="9"/>
        <color rgb="FF000000"/>
        <rFont val="Meiryo UI"/>
        <family val="0"/>
        <charset val="1"/>
      </rPr>
      <t xml:space="preserve">15</t>
    </r>
    <r>
      <rPr>
        <sz val="9"/>
        <color rgb="FF000000"/>
        <rFont val="WenQuanYi Zen Hei"/>
        <family val="2"/>
      </rPr>
      <t xml:space="preserve">モデル）</t>
    </r>
  </si>
  <si>
    <r>
      <rPr>
        <sz val="9"/>
        <color rgb="FF000000"/>
        <rFont val="Meiryo UI"/>
        <family val="0"/>
        <charset val="1"/>
      </rPr>
      <t xml:space="preserve">IM C6011</t>
    </r>
    <r>
      <rPr>
        <sz val="9"/>
        <color rgb="FF000000"/>
        <rFont val="WenQuanYi Zen Hei"/>
        <family val="2"/>
      </rPr>
      <t xml:space="preserve">シリーズ（</t>
    </r>
    <r>
      <rPr>
        <sz val="9"/>
        <color rgb="FF000000"/>
        <rFont val="Meiryo UI"/>
        <family val="0"/>
        <charset val="1"/>
      </rPr>
      <t xml:space="preserve">2026/8/24</t>
    </r>
    <r>
      <rPr>
        <sz val="9"/>
        <color rgb="FF000000"/>
        <rFont val="WenQuanYi Zen Hei"/>
        <family val="2"/>
      </rPr>
      <t xml:space="preserve">発売）</t>
    </r>
  </si>
  <si>
    <r>
      <rPr>
        <sz val="9"/>
        <color rgb="FF000000"/>
        <rFont val="WenQuanYi Zen Hei"/>
        <family val="2"/>
      </rPr>
      <t xml:space="preserve">新</t>
    </r>
    <r>
      <rPr>
        <sz val="9"/>
        <color rgb="FF000000"/>
        <rFont val="Meiryo UI"/>
        <family val="0"/>
        <charset val="1"/>
      </rPr>
      <t xml:space="preserve">BP</t>
    </r>
    <r>
      <rPr>
        <sz val="9"/>
        <color rgb="FF000000"/>
        <rFont val="WenQuanYi Zen Hei"/>
        <family val="2"/>
      </rPr>
      <t xml:space="preserve">シリーズ </t>
    </r>
    <r>
      <rPr>
        <sz val="9"/>
        <color rgb="FF000000"/>
        <rFont val="Meiryo UI"/>
        <family val="0"/>
        <charset val="1"/>
      </rPr>
      <t xml:space="preserve">16</t>
    </r>
    <r>
      <rPr>
        <sz val="9"/>
        <color rgb="FF000000"/>
        <rFont val="WenQuanYi Zen Hei"/>
        <family val="2"/>
      </rPr>
      <t xml:space="preserve">機種（</t>
    </r>
    <r>
      <rPr>
        <sz val="9"/>
        <color rgb="FF000000"/>
        <rFont val="Meiryo UI"/>
        <family val="0"/>
        <charset val="1"/>
      </rPr>
      <t xml:space="preserve">2025/10</t>
    </r>
    <r>
      <rPr>
        <sz val="9"/>
        <color rgb="FF000000"/>
        <rFont val="WenQuanYi Zen Hei"/>
        <family val="2"/>
      </rPr>
      <t xml:space="preserve">〜）</t>
    </r>
  </si>
  <si>
    <r>
      <rPr>
        <sz val="9"/>
        <color rgb="FF000000"/>
        <rFont val="Meiryo UI"/>
        <family val="0"/>
        <charset val="1"/>
      </rPr>
      <t xml:space="preserve">bizhub 1i</t>
    </r>
    <r>
      <rPr>
        <sz val="9"/>
        <color rgb="FF000000"/>
        <rFont val="WenQuanYi Zen Hei"/>
        <family val="2"/>
      </rPr>
      <t xml:space="preserve">シリーズ </t>
    </r>
    <r>
      <rPr>
        <sz val="9"/>
        <color rgb="FF000000"/>
        <rFont val="Meiryo UI"/>
        <family val="0"/>
        <charset val="1"/>
      </rPr>
      <t xml:space="preserve">13</t>
    </r>
    <r>
      <rPr>
        <sz val="9"/>
        <color rgb="FF000000"/>
        <rFont val="WenQuanYi Zen Hei"/>
        <family val="2"/>
      </rPr>
      <t xml:space="preserve">機種（</t>
    </r>
    <r>
      <rPr>
        <sz val="9"/>
        <color rgb="FF000000"/>
        <rFont val="Meiryo UI"/>
        <family val="0"/>
        <charset val="1"/>
      </rPr>
      <t xml:space="preserve">2024/5</t>
    </r>
    <r>
      <rPr>
        <sz val="9"/>
        <color rgb="FF000000"/>
        <rFont val="WenQuanYi Zen Hei"/>
        <family val="2"/>
      </rPr>
      <t xml:space="preserve">〜）</t>
    </r>
  </si>
  <si>
    <t xml:space="preserve">直近の戦略トピック</t>
  </si>
  <si>
    <r>
      <rPr>
        <sz val="9"/>
        <color rgb="FF000000"/>
        <rFont val="WenQuanYi Zen Hei"/>
        <family val="2"/>
      </rPr>
      <t xml:space="preserve">分離・株式上場の検討を発表（</t>
    </r>
    <r>
      <rPr>
        <sz val="9"/>
        <color rgb="FF000000"/>
        <rFont val="Meiryo UI"/>
        <family val="0"/>
        <charset val="1"/>
      </rPr>
      <t xml:space="preserve">2026/8</t>
    </r>
    <r>
      <rPr>
        <sz val="9"/>
        <color rgb="FF000000"/>
        <rFont val="WenQuanYi Zen Hei"/>
        <family val="2"/>
      </rPr>
      <t xml:space="preserve">）／コニカミノルタと調達合弁</t>
    </r>
  </si>
  <si>
    <t xml:space="preserve">独立路線。新ブランドで画質・インハウス印刷を訴求</t>
  </si>
  <si>
    <r>
      <rPr>
        <sz val="9"/>
        <color rgb="FF000000"/>
        <rFont val="Meiryo UI"/>
        <family val="0"/>
        <charset val="1"/>
      </rPr>
      <t xml:space="preserve">ETRIA</t>
    </r>
    <r>
      <rPr>
        <sz val="9"/>
        <color rgb="FF000000"/>
        <rFont val="WenQuanYi Zen Hei"/>
        <family val="2"/>
      </rPr>
      <t xml:space="preserve">（東芝テック・</t>
    </r>
    <r>
      <rPr>
        <sz val="9"/>
        <color rgb="FF000000"/>
        <rFont val="Meiryo UI"/>
        <family val="0"/>
        <charset val="1"/>
      </rPr>
      <t xml:space="preserve">OKI</t>
    </r>
    <r>
      <rPr>
        <sz val="9"/>
        <color rgb="FF000000"/>
        <rFont val="WenQuanYi Zen Hei"/>
        <family val="2"/>
      </rPr>
      <t xml:space="preserve">と生産統合）で規模を追求</t>
    </r>
  </si>
  <si>
    <r>
      <rPr>
        <sz val="9"/>
        <color rgb="FF000000"/>
        <rFont val="WenQuanYi Zen Hei"/>
        <family val="2"/>
      </rPr>
      <t xml:space="preserve">独立路線。生成</t>
    </r>
    <r>
      <rPr>
        <sz val="9"/>
        <color rgb="FF000000"/>
        <rFont val="Meiryo UI"/>
        <family val="0"/>
        <charset val="1"/>
      </rPr>
      <t xml:space="preserve">AI</t>
    </r>
    <r>
      <rPr>
        <sz val="9"/>
        <color rgb="FF000000"/>
        <rFont val="WenQuanYi Zen Hei"/>
        <family val="2"/>
      </rPr>
      <t xml:space="preserve">サポート・</t>
    </r>
    <r>
      <rPr>
        <sz val="9"/>
        <color rgb="FF000000"/>
        <rFont val="Meiryo UI"/>
        <family val="0"/>
        <charset val="1"/>
      </rPr>
      <t xml:space="preserve">UTM</t>
    </r>
    <r>
      <rPr>
        <sz val="9"/>
        <color rgb="FF000000"/>
        <rFont val="WenQuanYi Zen Hei"/>
        <family val="2"/>
      </rPr>
      <t xml:space="preserve">など中小向け全部入り</t>
    </r>
  </si>
  <si>
    <r>
      <rPr>
        <sz val="9"/>
        <color rgb="FF000000"/>
        <rFont val="WenQuanYi Zen Hei"/>
        <family val="2"/>
      </rPr>
      <t xml:space="preserve">富士フイルム</t>
    </r>
    <r>
      <rPr>
        <sz val="9"/>
        <color rgb="FF000000"/>
        <rFont val="Meiryo UI"/>
        <family val="0"/>
        <charset val="1"/>
      </rPr>
      <t xml:space="preserve">BI</t>
    </r>
    <r>
      <rPr>
        <sz val="9"/>
        <color rgb="FF000000"/>
        <rFont val="WenQuanYi Zen Hei"/>
        <family val="2"/>
      </rPr>
      <t xml:space="preserve">と調達合弁。再製造機で環境訴求</t>
    </r>
  </si>
  <si>
    <r>
      <rPr>
        <b val="true"/>
        <sz val="11"/>
        <color rgb="FFFFFFFF"/>
        <rFont val="Meiryo UI"/>
        <family val="0"/>
        <charset val="1"/>
      </rPr>
      <t xml:space="preserve">3. </t>
    </r>
    <r>
      <rPr>
        <b val="true"/>
        <sz val="11"/>
        <color rgb="FFFFFFFF"/>
        <rFont val="WenQuanYi Zen Hei"/>
        <family val="2"/>
      </rPr>
      <t xml:space="preserve">主要ファインディングス</t>
    </r>
  </si>
  <si>
    <t xml:space="preserve">① 全社が世代交代済み・製品鮮度は拮抗</t>
  </si>
  <si>
    <r>
      <rPr>
        <sz val="9.5"/>
        <color rgb="FF000000"/>
        <rFont val="Meiryo UI"/>
        <family val="0"/>
        <charset val="1"/>
      </rPr>
      <t xml:space="preserve">5</t>
    </r>
    <r>
      <rPr>
        <sz val="9.5"/>
        <color rgb="FF000000"/>
        <rFont val="WenQuanYi Zen Hei"/>
        <family val="2"/>
      </rPr>
      <t xml:space="preserve">社とも</t>
    </r>
    <r>
      <rPr>
        <sz val="9.5"/>
        <color rgb="FF000000"/>
        <rFont val="Meiryo UI"/>
        <family val="0"/>
        <charset val="1"/>
      </rPr>
      <t xml:space="preserve">2024</t>
    </r>
    <r>
      <rPr>
        <sz val="9.5"/>
        <color rgb="FF000000"/>
        <rFont val="WenQuanYi Zen Hei"/>
        <family val="2"/>
      </rPr>
      <t xml:space="preserve">〜</t>
    </r>
    <r>
      <rPr>
        <sz val="9.5"/>
        <color rgb="FF000000"/>
        <rFont val="Meiryo UI"/>
        <family val="0"/>
        <charset val="1"/>
      </rPr>
      <t xml:space="preserve">2026</t>
    </r>
    <r>
      <rPr>
        <sz val="9.5"/>
        <color rgb="FF000000"/>
        <rFont val="WenQuanYi Zen Hei"/>
        <family val="2"/>
      </rPr>
      <t xml:space="preserve">年に主力刷新。最新はリコー</t>
    </r>
    <r>
      <rPr>
        <sz val="9.5"/>
        <color rgb="FF000000"/>
        <rFont val="Meiryo UI"/>
        <family val="0"/>
        <charset val="1"/>
      </rPr>
      <t xml:space="preserve">IM C6011</t>
    </r>
    <r>
      <rPr>
        <sz val="9.5"/>
        <color rgb="FF000000"/>
        <rFont val="WenQuanYi Zen Hei"/>
        <family val="2"/>
      </rPr>
      <t xml:space="preserve">系（</t>
    </r>
    <r>
      <rPr>
        <sz val="9.5"/>
        <color rgb="FF000000"/>
        <rFont val="Meiryo UI"/>
        <family val="0"/>
        <charset val="1"/>
      </rPr>
      <t xml:space="preserve">2026/8/24</t>
    </r>
    <r>
      <rPr>
        <sz val="9.5"/>
        <color rgb="FF000000"/>
        <rFont val="WenQuanYi Zen Hei"/>
        <family val="2"/>
      </rPr>
      <t xml:space="preserve">）とキヤノン</t>
    </r>
    <r>
      <rPr>
        <sz val="9.5"/>
        <color rgb="FF000000"/>
        <rFont val="Meiryo UI"/>
        <family val="0"/>
        <charset val="1"/>
      </rPr>
      <t xml:space="preserve">imageFORCE</t>
    </r>
    <r>
      <rPr>
        <sz val="9.5"/>
        <color rgb="FF000000"/>
        <rFont val="WenQuanYi Zen Hei"/>
        <family val="2"/>
      </rPr>
      <t xml:space="preserve">追加機（</t>
    </r>
    <r>
      <rPr>
        <sz val="9.5"/>
        <color rgb="FF000000"/>
        <rFont val="Meiryo UI"/>
        <family val="0"/>
        <charset val="1"/>
      </rPr>
      <t xml:space="preserve">2026/7</t>
    </r>
    <r>
      <rPr>
        <sz val="9.5"/>
        <color rgb="FF000000"/>
        <rFont val="WenQuanYi Zen Hei"/>
        <family val="2"/>
      </rPr>
      <t xml:space="preserve">〜</t>
    </r>
    <r>
      <rPr>
        <sz val="9.5"/>
        <color rgb="FF000000"/>
        <rFont val="Meiryo UI"/>
        <family val="0"/>
        <charset val="1"/>
      </rPr>
      <t xml:space="preserve">8</t>
    </r>
    <r>
      <rPr>
        <sz val="9.5"/>
        <color rgb="FF000000"/>
        <rFont val="WenQuanYi Zen Hei"/>
        <family val="2"/>
      </rPr>
      <t xml:space="preserve">）。製品の「古さ」で差がつく局面ではない。</t>
    </r>
  </si>
  <si>
    <t xml:space="preserve">② 価格は横一線だがリコー・シャープがやや攻勢</t>
  </si>
  <si>
    <r>
      <rPr>
        <sz val="9.5"/>
        <color rgb="FF000000"/>
        <rFont val="Meiryo UI"/>
        <family val="0"/>
        <charset val="1"/>
      </rPr>
      <t xml:space="preserve">25</t>
    </r>
    <r>
      <rPr>
        <sz val="9.5"/>
        <color rgb="FF000000"/>
        <rFont val="WenQuanYi Zen Hei"/>
        <family val="2"/>
      </rPr>
      <t xml:space="preserve">〜</t>
    </r>
    <r>
      <rPr>
        <sz val="9.5"/>
        <color rgb="FF000000"/>
        <rFont val="Meiryo UI"/>
        <family val="0"/>
        <charset val="1"/>
      </rPr>
      <t xml:space="preserve">30ppm</t>
    </r>
    <r>
      <rPr>
        <sz val="9.5"/>
        <color rgb="FF000000"/>
        <rFont val="WenQuanYi Zen Hei"/>
        <family val="2"/>
      </rPr>
      <t xml:space="preserve">帯の標準価格は約</t>
    </r>
    <r>
      <rPr>
        <sz val="9.5"/>
        <color rgb="FF000000"/>
        <rFont val="Meiryo UI"/>
        <family val="0"/>
        <charset val="1"/>
      </rPr>
      <t xml:space="preserve">119</t>
    </r>
    <r>
      <rPr>
        <sz val="9.5"/>
        <color rgb="FF000000"/>
        <rFont val="WenQuanYi Zen Hei"/>
        <family val="2"/>
      </rPr>
      <t xml:space="preserve">万〜</t>
    </r>
    <r>
      <rPr>
        <sz val="9.5"/>
        <color rgb="FF000000"/>
        <rFont val="Meiryo UI"/>
        <family val="0"/>
        <charset val="1"/>
      </rPr>
      <t xml:space="preserve">238</t>
    </r>
    <r>
      <rPr>
        <sz val="9.5"/>
        <color rgb="FF000000"/>
        <rFont val="WenQuanYi Zen Hei"/>
        <family val="2"/>
      </rPr>
      <t xml:space="preserve">万円、</t>
    </r>
    <r>
      <rPr>
        <sz val="9.5"/>
        <color rgb="FF000000"/>
        <rFont val="Meiryo UI"/>
        <family val="0"/>
        <charset val="1"/>
      </rPr>
      <t xml:space="preserve">60</t>
    </r>
    <r>
      <rPr>
        <sz val="9.5"/>
        <color rgb="FF000000"/>
        <rFont val="WenQuanYi Zen Hei"/>
        <family val="2"/>
      </rPr>
      <t xml:space="preserve">〜</t>
    </r>
    <r>
      <rPr>
        <sz val="9.5"/>
        <color rgb="FF000000"/>
        <rFont val="Meiryo UI"/>
        <family val="0"/>
        <charset val="1"/>
      </rPr>
      <t xml:space="preserve">70ppm</t>
    </r>
    <r>
      <rPr>
        <sz val="9.5"/>
        <color rgb="FF000000"/>
        <rFont val="WenQuanYi Zen Hei"/>
        <family val="2"/>
      </rPr>
      <t xml:space="preserve">帯は約</t>
    </r>
    <r>
      <rPr>
        <sz val="9.5"/>
        <color rgb="FF000000"/>
        <rFont val="Meiryo UI"/>
        <family val="0"/>
        <charset val="1"/>
      </rPr>
      <t xml:space="preserve">291</t>
    </r>
    <r>
      <rPr>
        <sz val="9.5"/>
        <color rgb="FF000000"/>
        <rFont val="WenQuanYi Zen Hei"/>
        <family val="2"/>
      </rPr>
      <t xml:space="preserve">万〜</t>
    </r>
    <r>
      <rPr>
        <sz val="9.5"/>
        <color rgb="FF000000"/>
        <rFont val="Meiryo UI"/>
        <family val="0"/>
        <charset val="1"/>
      </rPr>
      <t xml:space="preserve">552</t>
    </r>
    <r>
      <rPr>
        <sz val="9.5"/>
        <color rgb="FF000000"/>
        <rFont val="WenQuanYi Zen Hei"/>
        <family val="2"/>
      </rPr>
      <t xml:space="preserve">万円。同帯ではリコー（</t>
    </r>
    <r>
      <rPr>
        <sz val="9.5"/>
        <color rgb="FF000000"/>
        <rFont val="Meiryo UI"/>
        <family val="0"/>
        <charset val="1"/>
      </rPr>
      <t xml:space="preserve">IM C2011 119</t>
    </r>
    <r>
      <rPr>
        <sz val="9.5"/>
        <color rgb="FF000000"/>
        <rFont val="WenQuanYi Zen Hei"/>
        <family val="2"/>
      </rPr>
      <t xml:space="preserve">万円）・シャープ（</t>
    </r>
    <r>
      <rPr>
        <sz val="9.5"/>
        <color rgb="FF000000"/>
        <rFont val="Meiryo UI"/>
        <family val="0"/>
        <charset val="1"/>
      </rPr>
      <t xml:space="preserve">BP-41C26 151</t>
    </r>
    <r>
      <rPr>
        <sz val="9.5"/>
        <color rgb="FF000000"/>
        <rFont val="WenQuanYi Zen Hei"/>
        <family val="2"/>
      </rPr>
      <t xml:space="preserve">万円）が下値、富士フイルム</t>
    </r>
    <r>
      <rPr>
        <sz val="9.5"/>
        <color rgb="FF000000"/>
        <rFont val="Meiryo UI"/>
        <family val="0"/>
        <charset val="1"/>
      </rPr>
      <t xml:space="preserve">BI</t>
    </r>
    <r>
      <rPr>
        <sz val="9.5"/>
        <color rgb="FF000000"/>
        <rFont val="WenQuanYi Zen Hei"/>
        <family val="2"/>
      </rPr>
      <t xml:space="preserve">・コニカミノルタ上位機が上値。</t>
    </r>
  </si>
  <si>
    <t xml:space="preserve">③ 差別化軸はハードからソフト・サービスへ</t>
  </si>
  <si>
    <r>
      <rPr>
        <sz val="9.5"/>
        <color rgb="FF000000"/>
        <rFont val="WenQuanYi Zen Hei"/>
        <family val="2"/>
      </rPr>
      <t xml:space="preserve">クラウド連携（全社対応）、</t>
    </r>
    <r>
      <rPr>
        <sz val="9.5"/>
        <color rgb="FF000000"/>
        <rFont val="Meiryo UI"/>
        <family val="0"/>
        <charset val="1"/>
      </rPr>
      <t xml:space="preserve">AI</t>
    </r>
    <r>
      <rPr>
        <sz val="9.5"/>
        <color rgb="FF000000"/>
        <rFont val="WenQuanYi Zen Hei"/>
        <family val="2"/>
      </rPr>
      <t xml:space="preserve">活用、セキュリティ、環境（再生機）が主戦場。ハード仕様（速度・画質）は成熟し差が小さい。</t>
    </r>
  </si>
  <si>
    <r>
      <rPr>
        <b val="true"/>
        <sz val="9.5"/>
        <color rgb="FF1F3864"/>
        <rFont val="Meiryo UI"/>
        <family val="0"/>
        <charset val="1"/>
      </rPr>
      <t xml:space="preserve">④ AI</t>
    </r>
    <r>
      <rPr>
        <b val="true"/>
        <sz val="9.5"/>
        <color rgb="FF1F3864"/>
        <rFont val="WenQuanYi Zen Hei"/>
        <family val="2"/>
      </rPr>
      <t xml:space="preserve">の実装アプローチが分かれる</t>
    </r>
  </si>
  <si>
    <r>
      <rPr>
        <sz val="9.5"/>
        <color rgb="FF000000"/>
        <rFont val="WenQuanYi Zen Hei"/>
        <family val="2"/>
      </rPr>
      <t xml:space="preserve">キヤノン：</t>
    </r>
    <r>
      <rPr>
        <sz val="9.5"/>
        <color rgb="FF000000"/>
        <rFont val="Meiryo UI"/>
        <family val="0"/>
        <charset val="1"/>
      </rPr>
      <t xml:space="preserve">AI</t>
    </r>
    <r>
      <rPr>
        <sz val="9.5"/>
        <color rgb="FF000000"/>
        <rFont val="WenQuanYi Zen Hei"/>
        <family val="2"/>
      </rPr>
      <t xml:space="preserve">によるセキュリティ設定推奨／シャープ：生成</t>
    </r>
    <r>
      <rPr>
        <sz val="9.5"/>
        <color rgb="FF000000"/>
        <rFont val="Meiryo UI"/>
        <family val="0"/>
        <charset val="1"/>
      </rPr>
      <t xml:space="preserve">AI</t>
    </r>
    <r>
      <rPr>
        <sz val="9.5"/>
        <color rgb="FF000000"/>
        <rFont val="WenQuanYi Zen Hei"/>
        <family val="2"/>
      </rPr>
      <t xml:space="preserve">サポート「</t>
    </r>
    <r>
      <rPr>
        <sz val="9.5"/>
        <color rgb="FF000000"/>
        <rFont val="Meiryo UI"/>
        <family val="0"/>
        <charset val="1"/>
      </rPr>
      <t xml:space="preserve">eAssistant Guide</t>
    </r>
    <r>
      <rPr>
        <sz val="9.5"/>
        <color rgb="FF000000"/>
        <rFont val="WenQuanYi Zen Hei"/>
        <family val="2"/>
      </rPr>
      <t xml:space="preserve">」／リコー：</t>
    </r>
    <r>
      <rPr>
        <sz val="9.5"/>
        <color rgb="FF000000"/>
        <rFont val="Meiryo UI"/>
        <family val="0"/>
        <charset val="1"/>
      </rPr>
      <t xml:space="preserve">AI</t>
    </r>
    <r>
      <rPr>
        <sz val="9.5"/>
        <color rgb="FF000000"/>
        <rFont val="WenQuanYi Zen Hei"/>
        <family val="2"/>
      </rPr>
      <t xml:space="preserve">天地補正・</t>
    </r>
    <r>
      <rPr>
        <sz val="9.5"/>
        <color rgb="FF000000"/>
        <rFont val="Meiryo UI"/>
        <family val="0"/>
        <charset val="1"/>
      </rPr>
      <t xml:space="preserve">OCR</t>
    </r>
    <r>
      <rPr>
        <sz val="9.5"/>
        <color rgb="FF000000"/>
        <rFont val="WenQuanYi Zen Hei"/>
        <family val="2"/>
      </rPr>
      <t xml:space="preserve">標準搭載／富士フイルム</t>
    </r>
    <r>
      <rPr>
        <sz val="9.5"/>
        <color rgb="FF000000"/>
        <rFont val="Meiryo UI"/>
        <family val="0"/>
        <charset val="1"/>
      </rPr>
      <t xml:space="preserve">BI</t>
    </r>
    <r>
      <rPr>
        <sz val="9.5"/>
        <color rgb="FF000000"/>
        <rFont val="WenQuanYi Zen Hei"/>
        <family val="2"/>
      </rPr>
      <t xml:space="preserve">：</t>
    </r>
    <r>
      <rPr>
        <sz val="9.5"/>
        <color rgb="FF000000"/>
        <rFont val="Meiryo UI"/>
        <family val="0"/>
        <charset val="1"/>
      </rPr>
      <t xml:space="preserve">AI</t>
    </r>
    <r>
      <rPr>
        <sz val="9.5"/>
        <color rgb="FF000000"/>
        <rFont val="WenQuanYi Zen Hei"/>
        <family val="2"/>
      </rPr>
      <t xml:space="preserve">保守基盤（</t>
    </r>
    <r>
      <rPr>
        <sz val="9.5"/>
        <color rgb="FF000000"/>
        <rFont val="Meiryo UI"/>
        <family val="0"/>
        <charset val="1"/>
      </rPr>
      <t xml:space="preserve">2026/10</t>
    </r>
    <r>
      <rPr>
        <sz val="9.5"/>
        <color rgb="FF000000"/>
        <rFont val="WenQuanYi Zen Hei"/>
        <family val="2"/>
      </rPr>
      <t xml:space="preserve">国内導入）。コニカミノルタは本体</t>
    </r>
    <r>
      <rPr>
        <sz val="9.5"/>
        <color rgb="FF000000"/>
        <rFont val="Meiryo UI"/>
        <family val="0"/>
        <charset val="1"/>
      </rPr>
      <t xml:space="preserve">AI</t>
    </r>
    <r>
      <rPr>
        <sz val="9.5"/>
        <color rgb="FF000000"/>
        <rFont val="WenQuanYi Zen Hei"/>
        <family val="2"/>
      </rPr>
      <t xml:space="preserve">訴求が現状弱い。</t>
    </r>
  </si>
  <si>
    <t xml:space="preserve">⑤ 環境・再生機が全社の共通戦略に</t>
  </si>
  <si>
    <r>
      <rPr>
        <sz val="9.5"/>
        <color rgb="FF000000"/>
        <rFont val="WenQuanYi Zen Hei"/>
        <family val="2"/>
      </rPr>
      <t xml:space="preserve">部品リユース率：キヤノン</t>
    </r>
    <r>
      <rPr>
        <sz val="9.5"/>
        <color rgb="FF000000"/>
        <rFont val="Meiryo UI"/>
        <family val="0"/>
        <charset val="1"/>
      </rPr>
      <t xml:space="preserve">90%</t>
    </r>
    <r>
      <rPr>
        <sz val="9.5"/>
        <color rgb="FF000000"/>
        <rFont val="WenQuanYi Zen Hei"/>
        <family val="2"/>
      </rPr>
      <t xml:space="preserve">超、リコー</t>
    </r>
    <r>
      <rPr>
        <sz val="9.5"/>
        <color rgb="FF000000"/>
        <rFont val="Meiryo UI"/>
        <family val="0"/>
        <charset val="1"/>
      </rPr>
      <t xml:space="preserve">86%</t>
    </r>
    <r>
      <rPr>
        <sz val="9.5"/>
        <color rgb="FF000000"/>
        <rFont val="WenQuanYi Zen Hei"/>
        <family val="2"/>
      </rPr>
      <t xml:space="preserve">、富士フイルム</t>
    </r>
    <r>
      <rPr>
        <sz val="9.5"/>
        <color rgb="FF000000"/>
        <rFont val="Meiryo UI"/>
        <family val="0"/>
        <charset val="1"/>
      </rPr>
      <t xml:space="preserve">BI 84%</t>
    </r>
    <r>
      <rPr>
        <sz val="9.5"/>
        <color rgb="FF000000"/>
        <rFont val="WenQuanYi Zen Hei"/>
        <family val="2"/>
      </rPr>
      <t xml:space="preserve">、コニカミノルタ</t>
    </r>
    <r>
      <rPr>
        <sz val="9.5"/>
        <color rgb="FF000000"/>
        <rFont val="Meiryo UI"/>
        <family val="0"/>
        <charset val="1"/>
      </rPr>
      <t xml:space="preserve">80%</t>
    </r>
    <r>
      <rPr>
        <sz val="9.5"/>
        <color rgb="FF000000"/>
        <rFont val="WenQuanYi Zen Hei"/>
        <family val="2"/>
      </rPr>
      <t xml:space="preserve">以上。新造機も再生プラスチック約</t>
    </r>
    <r>
      <rPr>
        <sz val="9.5"/>
        <color rgb="FF000000"/>
        <rFont val="Meiryo UI"/>
        <family val="0"/>
        <charset val="1"/>
      </rPr>
      <t xml:space="preserve">50%</t>
    </r>
    <r>
      <rPr>
        <sz val="9.5"/>
        <color rgb="FF000000"/>
        <rFont val="WenQuanYi Zen Hei"/>
        <family val="2"/>
      </rPr>
      <t xml:space="preserve">（リコー・シャープ）が標準化。</t>
    </r>
  </si>
  <si>
    <t xml:space="preserve">⑥ 業界再編が競争構造を変えつつある</t>
  </si>
  <si>
    <r>
      <rPr>
        <sz val="9.5"/>
        <color rgb="FF000000"/>
        <rFont val="WenQuanYi Zen Hei"/>
        <family val="2"/>
      </rPr>
      <t xml:space="preserve">生産側は</t>
    </r>
    <r>
      <rPr>
        <sz val="9.5"/>
        <color rgb="FF000000"/>
        <rFont val="Meiryo UI"/>
        <family val="0"/>
        <charset val="1"/>
      </rPr>
      <t xml:space="preserve">ETRIA</t>
    </r>
    <r>
      <rPr>
        <sz val="9.5"/>
        <color rgb="FF000000"/>
        <rFont val="WenQuanYi Zen Hei"/>
        <family val="2"/>
      </rPr>
      <t xml:space="preserve">（リコー</t>
    </r>
    <r>
      <rPr>
        <sz val="9.5"/>
        <color rgb="FF000000"/>
        <rFont val="Meiryo UI"/>
        <family val="0"/>
        <charset val="1"/>
      </rPr>
      <t xml:space="preserve">85%→80.74%</t>
    </r>
    <r>
      <rPr>
        <sz val="9.5"/>
        <color rgb="FF000000"/>
        <rFont val="WenQuanYi Zen Hei"/>
        <family val="2"/>
      </rPr>
      <t xml:space="preserve">、東芝テック、</t>
    </r>
    <r>
      <rPr>
        <sz val="9.5"/>
        <color rgb="FF000000"/>
        <rFont val="Meiryo UI"/>
        <family val="0"/>
        <charset val="1"/>
      </rPr>
      <t xml:space="preserve">OKI</t>
    </r>
    <r>
      <rPr>
        <sz val="9.5"/>
        <color rgb="FF000000"/>
        <rFont val="WenQuanYi Zen Hei"/>
        <family val="2"/>
      </rPr>
      <t xml:space="preserve">合流）で集約。富士フイルム</t>
    </r>
    <r>
      <rPr>
        <sz val="9.5"/>
        <color rgb="FF000000"/>
        <rFont val="Meiryo UI"/>
        <family val="0"/>
        <charset val="1"/>
      </rPr>
      <t xml:space="preserve">BI×</t>
    </r>
    <r>
      <rPr>
        <sz val="9.5"/>
        <color rgb="FF000000"/>
        <rFont val="WenQuanYi Zen Hei"/>
        <family val="2"/>
      </rPr>
      <t xml:space="preserve">コニカミノルタは調達合弁。富士フイルム</t>
    </r>
    <r>
      <rPr>
        <sz val="9.5"/>
        <color rgb="FF000000"/>
        <rFont val="Meiryo UI"/>
        <family val="0"/>
        <charset val="1"/>
      </rPr>
      <t xml:space="preserve">HD</t>
    </r>
    <r>
      <rPr>
        <sz val="9.5"/>
        <color rgb="FF000000"/>
        <rFont val="WenQuanYi Zen Hei"/>
        <family val="2"/>
      </rPr>
      <t xml:space="preserve">は</t>
    </r>
    <r>
      <rPr>
        <sz val="9.5"/>
        <color rgb="FF000000"/>
        <rFont val="Meiryo UI"/>
        <family val="0"/>
        <charset val="1"/>
      </rPr>
      <t xml:space="preserve">BI</t>
    </r>
    <r>
      <rPr>
        <sz val="9.5"/>
        <color rgb="FF000000"/>
        <rFont val="WenQuanYi Zen Hei"/>
        <family val="2"/>
      </rPr>
      <t xml:space="preserve">分離上場を検討（</t>
    </r>
    <r>
      <rPr>
        <sz val="9.5"/>
        <color rgb="FF000000"/>
        <rFont val="Meiryo UI"/>
        <family val="0"/>
        <charset val="1"/>
      </rPr>
      <t xml:space="preserve">2026/8</t>
    </r>
    <r>
      <rPr>
        <sz val="9.5"/>
        <color rgb="FF000000"/>
        <rFont val="WenQuanYi Zen Hei"/>
        <family val="2"/>
      </rPr>
      <t xml:space="preserve">発表）。真の独立路線はキヤノン・シャープ・京セラ。</t>
    </r>
  </si>
  <si>
    <r>
      <rPr>
        <b val="true"/>
        <sz val="9.5"/>
        <color rgb="FF1F3864"/>
        <rFont val="WenQuanYi Zen Hei"/>
        <family val="2"/>
      </rPr>
      <t xml:space="preserve">⑦ 顧客満足度はキヤノンが</t>
    </r>
    <r>
      <rPr>
        <b val="true"/>
        <sz val="9.5"/>
        <color rgb="FF1F3864"/>
        <rFont val="Meiryo UI"/>
        <family val="0"/>
        <charset val="1"/>
      </rPr>
      <t xml:space="preserve">3</t>
    </r>
    <r>
      <rPr>
        <b val="true"/>
        <sz val="9.5"/>
        <color rgb="FF1F3864"/>
        <rFont val="WenQuanYi Zen Hei"/>
        <family val="2"/>
      </rPr>
      <t xml:space="preserve">年連続</t>
    </r>
    <r>
      <rPr>
        <b val="true"/>
        <sz val="9.5"/>
        <color rgb="FF1F3864"/>
        <rFont val="Meiryo UI"/>
        <family val="0"/>
        <charset val="1"/>
      </rPr>
      <t xml:space="preserve">1</t>
    </r>
    <r>
      <rPr>
        <b val="true"/>
        <sz val="9.5"/>
        <color rgb="FF1F3864"/>
        <rFont val="WenQuanYi Zen Hei"/>
        <family val="2"/>
      </rPr>
      <t xml:space="preserve">位</t>
    </r>
  </si>
  <si>
    <r>
      <rPr>
        <sz val="9.5"/>
        <color rgb="FF000000"/>
        <rFont val="Meiryo UI"/>
        <family val="0"/>
        <charset val="1"/>
      </rPr>
      <t xml:space="preserve">J.D.</t>
    </r>
    <r>
      <rPr>
        <sz val="9.5"/>
        <color rgb="FF000000"/>
        <rFont val="WenQuanYi Zen Hei"/>
        <family val="2"/>
      </rPr>
      <t xml:space="preserve">パワー</t>
    </r>
    <r>
      <rPr>
        <sz val="9.5"/>
        <color rgb="FF000000"/>
        <rFont val="Meiryo UI"/>
        <family val="0"/>
        <charset val="1"/>
      </rPr>
      <t xml:space="preserve">2025</t>
    </r>
    <r>
      <rPr>
        <sz val="9.5"/>
        <color rgb="FF000000"/>
        <rFont val="WenQuanYi Zen Hei"/>
        <family val="2"/>
      </rPr>
      <t xml:space="preserve">年カラー複合機調査：</t>
    </r>
    <r>
      <rPr>
        <sz val="9.5"/>
        <color rgb="FF000000"/>
        <rFont val="Meiryo UI"/>
        <family val="0"/>
        <charset val="1"/>
      </rPr>
      <t xml:space="preserve">1</t>
    </r>
    <r>
      <rPr>
        <sz val="9.5"/>
        <color rgb="FF000000"/>
        <rFont val="WenQuanYi Zen Hei"/>
        <family val="2"/>
      </rPr>
      <t xml:space="preserve">位キヤノン</t>
    </r>
    <r>
      <rPr>
        <sz val="9.5"/>
        <color rgb="FF000000"/>
        <rFont val="Meiryo UI"/>
        <family val="0"/>
        <charset val="1"/>
      </rPr>
      <t xml:space="preserve">679pt</t>
    </r>
    <r>
      <rPr>
        <sz val="9.5"/>
        <color rgb="FF000000"/>
        <rFont val="WenQuanYi Zen Hei"/>
        <family val="2"/>
      </rPr>
      <t xml:space="preserve">、</t>
    </r>
    <r>
      <rPr>
        <sz val="9.5"/>
        <color rgb="FF000000"/>
        <rFont val="Meiryo UI"/>
        <family val="0"/>
        <charset val="1"/>
      </rPr>
      <t xml:space="preserve">2</t>
    </r>
    <r>
      <rPr>
        <sz val="9.5"/>
        <color rgb="FF000000"/>
        <rFont val="WenQuanYi Zen Hei"/>
        <family val="2"/>
      </rPr>
      <t xml:space="preserve">位リコー</t>
    </r>
    <r>
      <rPr>
        <sz val="9.5"/>
        <color rgb="FF000000"/>
        <rFont val="Meiryo UI"/>
        <family val="0"/>
        <charset val="1"/>
      </rPr>
      <t xml:space="preserve">675pt</t>
    </r>
    <r>
      <rPr>
        <sz val="9.5"/>
        <color rgb="FF000000"/>
        <rFont val="WenQuanYi Zen Hei"/>
        <family val="2"/>
      </rPr>
      <t xml:space="preserve">、</t>
    </r>
    <r>
      <rPr>
        <sz val="9.5"/>
        <color rgb="FF000000"/>
        <rFont val="Meiryo UI"/>
        <family val="0"/>
        <charset val="1"/>
      </rPr>
      <t xml:space="preserve">3</t>
    </r>
    <r>
      <rPr>
        <sz val="9.5"/>
        <color rgb="FF000000"/>
        <rFont val="WenQuanYi Zen Hei"/>
        <family val="2"/>
      </rPr>
      <t xml:space="preserve">位富士フイルム</t>
    </r>
    <r>
      <rPr>
        <sz val="9.5"/>
        <color rgb="FF000000"/>
        <rFont val="Meiryo UI"/>
        <family val="0"/>
        <charset val="1"/>
      </rPr>
      <t xml:space="preserve">BI 673pt</t>
    </r>
    <r>
      <rPr>
        <sz val="9.5"/>
        <color rgb="FF000000"/>
        <rFont val="WenQuanYi Zen Hei"/>
        <family val="2"/>
      </rPr>
      <t xml:space="preserve">。上位</t>
    </r>
    <r>
      <rPr>
        <sz val="9.5"/>
        <color rgb="FF000000"/>
        <rFont val="Meiryo UI"/>
        <family val="0"/>
        <charset val="1"/>
      </rPr>
      <t xml:space="preserve">3</t>
    </r>
    <r>
      <rPr>
        <sz val="9.5"/>
        <color rgb="FF000000"/>
        <rFont val="WenQuanYi Zen Hei"/>
        <family val="2"/>
      </rPr>
      <t xml:space="preserve">社は僅差。</t>
    </r>
  </si>
  <si>
    <r>
      <rPr>
        <b val="true"/>
        <sz val="11"/>
        <color rgb="FFFFFFFF"/>
        <rFont val="Meiryo UI"/>
        <family val="0"/>
        <charset val="1"/>
      </rPr>
      <t xml:space="preserve">4. </t>
    </r>
    <r>
      <rPr>
        <b val="true"/>
        <sz val="11"/>
        <color rgb="FFFFFFFF"/>
        <rFont val="WenQuanYi Zen Hei"/>
        <family val="2"/>
      </rPr>
      <t xml:space="preserve">示唆・提言（当社所見）</t>
    </r>
  </si>
  <si>
    <r>
      <rPr>
        <sz val="10"/>
        <color rgb="FF000000"/>
        <rFont val="WenQuanYi Zen Hei"/>
        <family val="2"/>
      </rPr>
      <t xml:space="preserve">◆ 比較・選定の局面では：同一速度帯での標準価格差より、保守カウンター単価・クラウド連携の適合性・セキュリティ要件（</t>
    </r>
    <r>
      <rPr>
        <sz val="10"/>
        <color rgb="FF000000"/>
        <rFont val="Meiryo UI"/>
        <family val="0"/>
        <charset val="1"/>
      </rPr>
      <t xml:space="preserve">HCD-PP</t>
    </r>
    <r>
      <rPr>
        <sz val="10"/>
        <color rgb="FF000000"/>
        <rFont val="WenQuanYi Zen Hei"/>
        <family val="2"/>
      </rPr>
      <t xml:space="preserve">等）で総保有コストと運用適合性を評価すべき。</t>
    </r>
  </si>
  <si>
    <r>
      <rPr>
        <sz val="10"/>
        <color rgb="FF000000"/>
        <rFont val="WenQuanYi Zen Hei"/>
        <family val="2"/>
      </rPr>
      <t xml:space="preserve">◆ パートナー戦略の局面では：富士フイルム</t>
    </r>
    <r>
      <rPr>
        <sz val="10"/>
        <color rgb="FF000000"/>
        <rFont val="Meiryo UI"/>
        <family val="0"/>
        <charset val="1"/>
      </rPr>
      <t xml:space="preserve">BI</t>
    </r>
    <r>
      <rPr>
        <sz val="10"/>
        <color rgb="FF000000"/>
        <rFont val="WenQuanYi Zen Hei"/>
        <family val="2"/>
      </rPr>
      <t xml:space="preserve">の分離上場検討・</t>
    </r>
    <r>
      <rPr>
        <sz val="10"/>
        <color rgb="FF000000"/>
        <rFont val="Meiryo UI"/>
        <family val="0"/>
        <charset val="1"/>
      </rPr>
      <t xml:space="preserve">ETRIA</t>
    </r>
    <r>
      <rPr>
        <sz val="10"/>
        <color rgb="FF000000"/>
        <rFont val="WenQuanYi Zen Hei"/>
        <family val="2"/>
      </rPr>
      <t xml:space="preserve">の拡大など、</t>
    </r>
    <r>
      <rPr>
        <sz val="10"/>
        <color rgb="FF000000"/>
        <rFont val="Meiryo UI"/>
        <family val="0"/>
        <charset val="1"/>
      </rPr>
      <t xml:space="preserve">2</t>
    </r>
    <r>
      <rPr>
        <sz val="10"/>
        <color rgb="FF000000"/>
        <rFont val="WenQuanYi Zen Hei"/>
        <family val="2"/>
      </rPr>
      <t xml:space="preserve">〜</t>
    </r>
    <r>
      <rPr>
        <sz val="10"/>
        <color rgb="FF000000"/>
        <rFont val="Meiryo UI"/>
        <family val="0"/>
        <charset val="1"/>
      </rPr>
      <t xml:space="preserve">3</t>
    </r>
    <r>
      <rPr>
        <sz val="10"/>
        <color rgb="FF000000"/>
        <rFont val="WenQuanYi Zen Hei"/>
        <family val="2"/>
      </rPr>
      <t xml:space="preserve">年で資本関係が動く可能性。中期契約・共同開発は再編シナリオを織り込んで判断すべき。</t>
    </r>
  </si>
  <si>
    <r>
      <rPr>
        <sz val="10"/>
        <color rgb="FF000000"/>
        <rFont val="WenQuanYi Zen Hei"/>
        <family val="2"/>
      </rPr>
      <t xml:space="preserve">◆ 自社事業への示唆：ハード縮小下で全社が「複合機＝</t>
    </r>
    <r>
      <rPr>
        <sz val="10"/>
        <color rgb="FF000000"/>
        <rFont val="Meiryo UI"/>
        <family val="0"/>
        <charset val="1"/>
      </rPr>
      <t xml:space="preserve">DX</t>
    </r>
    <r>
      <rPr>
        <sz val="10"/>
        <color rgb="FF000000"/>
        <rFont val="WenQuanYi Zen Hei"/>
        <family val="2"/>
      </rPr>
      <t xml:space="preserve">の入口」戦略に収斂。周辺サービス（文書クラウド、</t>
    </r>
    <r>
      <rPr>
        <sz val="10"/>
        <color rgb="FF000000"/>
        <rFont val="Meiryo UI"/>
        <family val="0"/>
        <charset val="1"/>
      </rPr>
      <t xml:space="preserve">AI-OCR</t>
    </r>
    <r>
      <rPr>
        <sz val="10"/>
        <color rgb="FF000000"/>
        <rFont val="WenQuanYi Zen Hei"/>
        <family val="2"/>
      </rPr>
      <t xml:space="preserve">、保守サブスク）に商機。</t>
    </r>
  </si>
  <si>
    <t xml:space="preserve">国内複合機市場の概況</t>
  </si>
  <si>
    <r>
      <rPr>
        <b val="true"/>
        <sz val="11"/>
        <color rgb="FFFFFFFF"/>
        <rFont val="Meiryo UI"/>
        <family val="0"/>
        <charset val="1"/>
      </rPr>
      <t xml:space="preserve">1. </t>
    </r>
    <r>
      <rPr>
        <b val="true"/>
        <sz val="11"/>
        <color rgb="FFFFFFFF"/>
        <rFont val="WenQuanYi Zen Hei"/>
        <family val="2"/>
      </rPr>
      <t xml:space="preserve">国内</t>
    </r>
    <r>
      <rPr>
        <b val="true"/>
        <sz val="11"/>
        <color rgb="FFFFFFFF"/>
        <rFont val="Meiryo UI"/>
        <family val="0"/>
        <charset val="1"/>
      </rPr>
      <t xml:space="preserve">A3</t>
    </r>
    <r>
      <rPr>
        <b val="true"/>
        <sz val="11"/>
        <color rgb="FFFFFFFF"/>
        <rFont val="WenQuanYi Zen Hei"/>
        <family val="2"/>
      </rPr>
      <t xml:space="preserve">複合機 出荷台数の推移（万台）</t>
    </r>
  </si>
  <si>
    <t xml:space="preserve">時点</t>
  </si>
  <si>
    <t xml:space="preserve">出荷台数（万台）</t>
  </si>
  <si>
    <t xml:space="preserve">ピーク比</t>
  </si>
  <si>
    <t xml:space="preserve">コロナ前比</t>
  </si>
  <si>
    <t xml:space="preserve">備考</t>
  </si>
  <si>
    <t xml:space="preserve">ピーク時</t>
  </si>
  <si>
    <t xml:space="preserve">―</t>
  </si>
  <si>
    <r>
      <rPr>
        <sz val="9"/>
        <color rgb="FF000000"/>
        <rFont val="Meiryo UI"/>
        <family val="0"/>
        <charset val="1"/>
      </rPr>
      <t xml:space="preserve">65</t>
    </r>
    <r>
      <rPr>
        <sz val="9"/>
        <color rgb="FF000000"/>
        <rFont val="WenQuanYi Zen Hei"/>
        <family val="2"/>
      </rPr>
      <t xml:space="preserve">万台超（電波新聞デジタル）</t>
    </r>
  </si>
  <si>
    <r>
      <rPr>
        <b val="true"/>
        <sz val="10"/>
        <color rgb="FF000000"/>
        <rFont val="WenQuanYi Zen Hei"/>
        <family val="2"/>
      </rPr>
      <t xml:space="preserve">コロナ前（</t>
    </r>
    <r>
      <rPr>
        <b val="true"/>
        <sz val="10"/>
        <color rgb="FF000000"/>
        <rFont val="Meiryo UI"/>
        <family val="0"/>
        <charset val="1"/>
      </rPr>
      <t xml:space="preserve">2019</t>
    </r>
    <r>
      <rPr>
        <b val="true"/>
        <sz val="10"/>
        <color rgb="FF000000"/>
        <rFont val="WenQuanYi Zen Hei"/>
        <family val="2"/>
      </rPr>
      <t xml:space="preserve">年頃）</t>
    </r>
  </si>
  <si>
    <r>
      <rPr>
        <sz val="9"/>
        <color rgb="FF000000"/>
        <rFont val="WenQuanYi Zen Hei"/>
        <family val="2"/>
      </rPr>
      <t xml:space="preserve">約</t>
    </r>
    <r>
      <rPr>
        <sz val="9"/>
        <color rgb="FF000000"/>
        <rFont val="Meiryo UI"/>
        <family val="0"/>
        <charset val="1"/>
      </rPr>
      <t xml:space="preserve">55</t>
    </r>
    <r>
      <rPr>
        <sz val="9"/>
        <color rgb="FF000000"/>
        <rFont val="WenQuanYi Zen Hei"/>
        <family val="2"/>
      </rPr>
      <t xml:space="preserve">万台</t>
    </r>
  </si>
  <si>
    <r>
      <rPr>
        <b val="true"/>
        <sz val="10"/>
        <color rgb="FF000000"/>
        <rFont val="Meiryo UI"/>
        <family val="0"/>
        <charset val="1"/>
      </rPr>
      <t xml:space="preserve">2024</t>
    </r>
    <r>
      <rPr>
        <b val="true"/>
        <sz val="10"/>
        <color rgb="FF000000"/>
        <rFont val="WenQuanYi Zen Hei"/>
        <family val="2"/>
      </rPr>
      <t xml:space="preserve">年</t>
    </r>
  </si>
  <si>
    <r>
      <rPr>
        <sz val="9"/>
        <color rgb="FF000000"/>
        <rFont val="WenQuanYi Zen Hei"/>
        <family val="2"/>
      </rPr>
      <t xml:space="preserve">約</t>
    </r>
    <r>
      <rPr>
        <sz val="9"/>
        <color rgb="FF000000"/>
        <rFont val="Meiryo UI"/>
        <family val="0"/>
        <charset val="1"/>
      </rPr>
      <t xml:space="preserve">45</t>
    </r>
    <r>
      <rPr>
        <sz val="9"/>
        <color rgb="FF000000"/>
        <rFont val="WenQuanYi Zen Hei"/>
        <family val="2"/>
      </rPr>
      <t xml:space="preserve">万台・前年並み（電波新聞デジタル）</t>
    </r>
  </si>
  <si>
    <t xml:space="preserve">※台数は概数。ピーク比・コロナ前比は本表内の数値から算出。</t>
  </si>
  <si>
    <r>
      <rPr>
        <b val="true"/>
        <sz val="11"/>
        <color rgb="FFFFFFFF"/>
        <rFont val="Meiryo UI"/>
        <family val="0"/>
        <charset val="1"/>
      </rPr>
      <t xml:space="preserve">2. JBMIA </t>
    </r>
    <r>
      <rPr>
        <b val="true"/>
        <sz val="11"/>
        <color rgb="FFFFFFFF"/>
        <rFont val="WenQuanYi Zen Hei"/>
        <family val="2"/>
      </rPr>
      <t xml:space="preserve">複写機・複合機出荷統計（日本メーカー計・海外向け含む）</t>
    </r>
  </si>
  <si>
    <t xml:space="preserve">暦年</t>
  </si>
  <si>
    <t xml:space="preserve">出荷金額（億円）</t>
  </si>
  <si>
    <r>
      <rPr>
        <b val="true"/>
        <sz val="10"/>
        <color rgb="FFFFFFFF"/>
        <rFont val="WenQuanYi Zen Hei"/>
        <family val="2"/>
      </rPr>
      <t xml:space="preserve">台数増減（</t>
    </r>
    <r>
      <rPr>
        <b val="true"/>
        <sz val="10"/>
        <color rgb="FFFFFFFF"/>
        <rFont val="Meiryo UI"/>
        <family val="0"/>
        <charset val="1"/>
      </rPr>
      <t xml:space="preserve">vs2023</t>
    </r>
    <r>
      <rPr>
        <b val="true"/>
        <sz val="10"/>
        <color rgb="FFFFFFFF"/>
        <rFont val="WenQuanYi Zen Hei"/>
        <family val="2"/>
      </rPr>
      <t xml:space="preserve">）</t>
    </r>
  </si>
  <si>
    <r>
      <rPr>
        <b val="true"/>
        <sz val="10"/>
        <color rgb="FFFFFFFF"/>
        <rFont val="WenQuanYi Zen Hei"/>
        <family val="2"/>
      </rPr>
      <t xml:space="preserve">金額増減（</t>
    </r>
    <r>
      <rPr>
        <b val="true"/>
        <sz val="10"/>
        <color rgb="FFFFFFFF"/>
        <rFont val="Meiryo UI"/>
        <family val="0"/>
        <charset val="1"/>
      </rPr>
      <t xml:space="preserve">vs2023</t>
    </r>
    <r>
      <rPr>
        <b val="true"/>
        <sz val="10"/>
        <color rgb="FFFFFFFF"/>
        <rFont val="WenQuanYi Zen Hei"/>
        <family val="2"/>
      </rPr>
      <t xml:space="preserve">）</t>
    </r>
  </si>
  <si>
    <r>
      <rPr>
        <b val="true"/>
        <sz val="10"/>
        <color rgb="FF000000"/>
        <rFont val="Meiryo UI"/>
        <family val="0"/>
        <charset val="1"/>
      </rPr>
      <t xml:space="preserve">2023</t>
    </r>
    <r>
      <rPr>
        <b val="true"/>
        <sz val="10"/>
        <color rgb="FF000000"/>
        <rFont val="WenQuanYi Zen Hei"/>
        <family val="2"/>
      </rPr>
      <t xml:space="preserve">年</t>
    </r>
  </si>
  <si>
    <r>
      <rPr>
        <b val="true"/>
        <sz val="10"/>
        <color rgb="FF000000"/>
        <rFont val="Meiryo UI"/>
        <family val="0"/>
        <charset val="1"/>
      </rPr>
      <t xml:space="preserve">2025</t>
    </r>
    <r>
      <rPr>
        <b val="true"/>
        <sz val="10"/>
        <color rgb="FF000000"/>
        <rFont val="WenQuanYi Zen Hei"/>
        <family val="2"/>
      </rPr>
      <t xml:space="preserve">年</t>
    </r>
  </si>
  <si>
    <r>
      <rPr>
        <i val="true"/>
        <sz val="8.5"/>
        <color rgb="FF808080"/>
        <rFont val="Meiryo UI"/>
        <family val="0"/>
        <charset val="1"/>
      </rPr>
      <t xml:space="preserve">※JBMIA</t>
    </r>
    <r>
      <rPr>
        <i val="true"/>
        <sz val="8.5"/>
        <color rgb="FF808080"/>
        <rFont val="WenQuanYi Zen Hei"/>
        <family val="2"/>
      </rPr>
      <t xml:space="preserve">（ビジネス機械・情報システム産業協会）統計。</t>
    </r>
    <r>
      <rPr>
        <i val="true"/>
        <sz val="8.5"/>
        <color rgb="FF808080"/>
        <rFont val="Meiryo UI"/>
        <family val="0"/>
        <charset val="1"/>
      </rPr>
      <t xml:space="preserve">2024</t>
    </r>
    <r>
      <rPr>
        <i val="true"/>
        <sz val="8.5"/>
        <color rgb="FF808080"/>
        <rFont val="WenQuanYi Zen Hei"/>
        <family val="2"/>
      </rPr>
      <t xml:space="preserve">年の公表値は今回未取得のため</t>
    </r>
    <r>
      <rPr>
        <i val="true"/>
        <sz val="8.5"/>
        <color rgb="FF808080"/>
        <rFont val="Meiryo UI"/>
        <family val="0"/>
        <charset val="1"/>
      </rPr>
      <t xml:space="preserve">2</t>
    </r>
    <r>
      <rPr>
        <i val="true"/>
        <sz val="8.5"/>
        <color rgb="FF808080"/>
        <rFont val="WenQuanYi Zen Hei"/>
        <family val="2"/>
      </rPr>
      <t xml:space="preserve">年比較。</t>
    </r>
    <r>
      <rPr>
        <i val="true"/>
        <sz val="8.5"/>
        <color rgb="FF808080"/>
        <rFont val="Meiryo UI"/>
        <family val="0"/>
        <charset val="1"/>
      </rPr>
      <t xml:space="preserve">2025</t>
    </r>
    <r>
      <rPr>
        <i val="true"/>
        <sz val="8.5"/>
        <color rgb="FF808080"/>
        <rFont val="WenQuanYi Zen Hei"/>
        <family val="2"/>
      </rPr>
      <t xml:space="preserve">年内訳：カラー機</t>
    </r>
    <r>
      <rPr>
        <i val="true"/>
        <sz val="8.5"/>
        <color rgb="FF808080"/>
        <rFont val="Meiryo UI"/>
        <family val="0"/>
        <charset val="1"/>
      </rPr>
      <t xml:space="preserve">199.1</t>
    </r>
    <r>
      <rPr>
        <i val="true"/>
        <sz val="8.5"/>
        <color rgb="FF808080"/>
        <rFont val="WenQuanYi Zen Hei"/>
        <family val="2"/>
      </rPr>
      <t xml:space="preserve">万台（▲</t>
    </r>
    <r>
      <rPr>
        <i val="true"/>
        <sz val="8.5"/>
        <color rgb="FF808080"/>
        <rFont val="Meiryo UI"/>
        <family val="0"/>
        <charset val="1"/>
      </rPr>
      <t xml:space="preserve">9.7%</t>
    </r>
    <r>
      <rPr>
        <i val="true"/>
        <sz val="8.5"/>
        <color rgb="FF808080"/>
        <rFont val="WenQuanYi Zen Hei"/>
        <family val="2"/>
      </rPr>
      <t xml:space="preserve">）、モノクロ機</t>
    </r>
    <r>
      <rPr>
        <i val="true"/>
        <sz val="8.5"/>
        <color rgb="FF808080"/>
        <rFont val="Meiryo UI"/>
        <family val="0"/>
        <charset val="1"/>
      </rPr>
      <t xml:space="preserve">117.1</t>
    </r>
    <r>
      <rPr>
        <i val="true"/>
        <sz val="8.5"/>
        <color rgb="FF808080"/>
        <rFont val="WenQuanYi Zen Hei"/>
        <family val="2"/>
      </rPr>
      <t xml:space="preserve">万台（▲</t>
    </r>
    <r>
      <rPr>
        <i val="true"/>
        <sz val="8.5"/>
        <color rgb="FF808080"/>
        <rFont val="Meiryo UI"/>
        <family val="0"/>
        <charset val="1"/>
      </rPr>
      <t xml:space="preserve">16.6%</t>
    </r>
    <r>
      <rPr>
        <i val="true"/>
        <sz val="8.5"/>
        <color rgb="FF808080"/>
        <rFont val="WenQuanYi Zen Hei"/>
        <family val="2"/>
      </rPr>
      <t xml:space="preserve">）。</t>
    </r>
  </si>
  <si>
    <r>
      <rPr>
        <b val="true"/>
        <sz val="11"/>
        <color rgb="FFFFFFFF"/>
        <rFont val="Meiryo UI"/>
        <family val="0"/>
        <charset val="1"/>
      </rPr>
      <t xml:space="preserve">3. </t>
    </r>
    <r>
      <rPr>
        <b val="true"/>
        <sz val="11"/>
        <color rgb="FFFFFFFF"/>
        <rFont val="WenQuanYi Zen Hei"/>
        <family val="2"/>
      </rPr>
      <t xml:space="preserve">メーカー別国内シェア（第三者調査による推定）</t>
    </r>
  </si>
  <si>
    <t xml:space="preserve">調査・出典</t>
  </si>
  <si>
    <t xml:space="preserve">上位の構図</t>
  </si>
  <si>
    <r>
      <rPr>
        <b val="true"/>
        <sz val="9"/>
        <color rgb="FF000000"/>
        <rFont val="WenQuanYi Zen Hei"/>
        <family val="2"/>
      </rPr>
      <t xml:space="preserve">コピー機</t>
    </r>
    <r>
      <rPr>
        <b val="true"/>
        <sz val="9"/>
        <color rgb="FF000000"/>
        <rFont val="Meiryo UI"/>
        <family val="0"/>
        <charset val="1"/>
      </rPr>
      <t xml:space="preserve">G</t>
    </r>
    <r>
      <rPr>
        <b val="true"/>
        <sz val="9"/>
        <color rgb="FF000000"/>
        <rFont val="WenQuanYi Zen Hei"/>
        <family val="2"/>
      </rPr>
      <t xml:space="preserve">メン独自調査（</t>
    </r>
    <r>
      <rPr>
        <b val="true"/>
        <sz val="9"/>
        <color rgb="FF000000"/>
        <rFont val="Meiryo UI"/>
        <family val="0"/>
        <charset val="1"/>
      </rPr>
      <t xml:space="preserve">2025</t>
    </r>
    <r>
      <rPr>
        <b val="true"/>
        <sz val="9"/>
        <color rgb="FF000000"/>
        <rFont val="WenQuanYi Zen Hei"/>
        <family val="2"/>
      </rPr>
      <t xml:space="preserve">年、国内約</t>
    </r>
    <r>
      <rPr>
        <b val="true"/>
        <sz val="9"/>
        <color rgb="FF000000"/>
        <rFont val="Meiryo UI"/>
        <family val="0"/>
        <charset val="1"/>
      </rPr>
      <t xml:space="preserve">1,153</t>
    </r>
    <r>
      <rPr>
        <b val="true"/>
        <sz val="9"/>
        <color rgb="FF000000"/>
        <rFont val="WenQuanYi Zen Hei"/>
        <family val="2"/>
      </rPr>
      <t xml:space="preserve">社）</t>
    </r>
  </si>
  <si>
    <r>
      <rPr>
        <sz val="9"/>
        <color rgb="FF000000"/>
        <rFont val="WenQuanYi Zen Hei"/>
        <family val="2"/>
      </rPr>
      <t xml:space="preserve">リコー約</t>
    </r>
    <r>
      <rPr>
        <sz val="9"/>
        <color rgb="FF000000"/>
        <rFont val="Meiryo UI"/>
        <family val="0"/>
        <charset val="1"/>
      </rPr>
      <t xml:space="preserve">30%</t>
    </r>
    <r>
      <rPr>
        <sz val="9"/>
        <color rgb="FF000000"/>
        <rFont val="WenQuanYi Zen Hei"/>
        <family val="2"/>
      </rPr>
      <t xml:space="preserve">・富士フイルム約</t>
    </r>
    <r>
      <rPr>
        <sz val="9"/>
        <color rgb="FF000000"/>
        <rFont val="Meiryo UI"/>
        <family val="0"/>
        <charset val="1"/>
      </rPr>
      <t xml:space="preserve">30%</t>
    </r>
    <r>
      <rPr>
        <sz val="9"/>
        <color rgb="FF000000"/>
        <rFont val="WenQuanYi Zen Hei"/>
        <family val="2"/>
      </rPr>
      <t xml:space="preserve">で計</t>
    </r>
    <r>
      <rPr>
        <sz val="9"/>
        <color rgb="FF000000"/>
        <rFont val="Meiryo UI"/>
        <family val="0"/>
        <charset val="1"/>
      </rPr>
      <t xml:space="preserve">6</t>
    </r>
    <r>
      <rPr>
        <sz val="9"/>
        <color rgb="FF000000"/>
        <rFont val="WenQuanYi Zen Hei"/>
        <family val="2"/>
      </rPr>
      <t xml:space="preserve">割。キヤノン含む</t>
    </r>
    <r>
      <rPr>
        <sz val="9"/>
        <color rgb="FF000000"/>
        <rFont val="Meiryo UI"/>
        <family val="0"/>
        <charset val="1"/>
      </rPr>
      <t xml:space="preserve">3</t>
    </r>
    <r>
      <rPr>
        <sz val="9"/>
        <color rgb="FF000000"/>
        <rFont val="WenQuanYi Zen Hei"/>
        <family val="2"/>
      </rPr>
      <t xml:space="preserve">社で約</t>
    </r>
    <r>
      <rPr>
        <sz val="9"/>
        <color rgb="FF000000"/>
        <rFont val="Meiryo UI"/>
        <family val="0"/>
        <charset val="1"/>
      </rPr>
      <t xml:space="preserve">80%</t>
    </r>
  </si>
  <si>
    <t xml:space="preserve">大型複合機のみのアンケート調査</t>
  </si>
  <si>
    <r>
      <rPr>
        <b val="true"/>
        <sz val="9"/>
        <color rgb="FF000000"/>
        <rFont val="WenQuanYi Zen Hei"/>
        <family val="2"/>
      </rPr>
      <t xml:space="preserve">販社系メディア各社（</t>
    </r>
    <r>
      <rPr>
        <b val="true"/>
        <sz val="9"/>
        <color rgb="FF000000"/>
        <rFont val="Meiryo UI"/>
        <family val="0"/>
        <charset val="1"/>
      </rPr>
      <t xml:space="preserve">OFFICE110</t>
    </r>
    <r>
      <rPr>
        <b val="true"/>
        <sz val="9"/>
        <color rgb="FF000000"/>
        <rFont val="WenQuanYi Zen Hei"/>
        <family val="2"/>
      </rPr>
      <t xml:space="preserve">、</t>
    </r>
    <r>
      <rPr>
        <b val="true"/>
        <sz val="9"/>
        <color rgb="FF000000"/>
        <rFont val="Meiryo UI"/>
        <family val="0"/>
        <charset val="1"/>
      </rPr>
      <t xml:space="preserve">OA</t>
    </r>
    <r>
      <rPr>
        <b val="true"/>
        <sz val="9"/>
        <color rgb="FF000000"/>
        <rFont val="WenQuanYi Zen Hei"/>
        <family val="2"/>
      </rPr>
      <t xml:space="preserve">ライド等）</t>
    </r>
  </si>
  <si>
    <r>
      <rPr>
        <sz val="9"/>
        <color rgb="FF000000"/>
        <rFont val="WenQuanYi Zen Hei"/>
        <family val="2"/>
      </rPr>
      <t xml:space="preserve">キヤノン・リコー・富士フイルム</t>
    </r>
    <r>
      <rPr>
        <sz val="9"/>
        <color rgb="FF000000"/>
        <rFont val="Meiryo UI"/>
        <family val="0"/>
        <charset val="1"/>
      </rPr>
      <t xml:space="preserve">BI</t>
    </r>
    <r>
      <rPr>
        <sz val="9"/>
        <color rgb="FF000000"/>
        <rFont val="WenQuanYi Zen Hei"/>
        <family val="2"/>
      </rPr>
      <t xml:space="preserve">の</t>
    </r>
    <r>
      <rPr>
        <sz val="9"/>
        <color rgb="FF000000"/>
        <rFont val="Meiryo UI"/>
        <family val="0"/>
        <charset val="1"/>
      </rPr>
      <t xml:space="preserve">3</t>
    </r>
    <r>
      <rPr>
        <sz val="9"/>
        <color rgb="FF000000"/>
        <rFont val="WenQuanYi Zen Hei"/>
        <family val="2"/>
      </rPr>
      <t xml:space="preserve">強で約</t>
    </r>
    <r>
      <rPr>
        <sz val="9"/>
        <color rgb="FF000000"/>
        <rFont val="Meiryo UI"/>
        <family val="0"/>
        <charset val="1"/>
      </rPr>
      <t xml:space="preserve">60</t>
    </r>
    <r>
      <rPr>
        <sz val="9"/>
        <color rgb="FF000000"/>
        <rFont val="WenQuanYi Zen Hei"/>
        <family val="2"/>
      </rPr>
      <t xml:space="preserve">〜</t>
    </r>
    <r>
      <rPr>
        <sz val="9"/>
        <color rgb="FF000000"/>
        <rFont val="Meiryo UI"/>
        <family val="0"/>
        <charset val="1"/>
      </rPr>
      <t xml:space="preserve">70%</t>
    </r>
    <r>
      <rPr>
        <sz val="9"/>
        <color rgb="FF000000"/>
        <rFont val="WenQuanYi Zen Hei"/>
        <family val="2"/>
      </rPr>
      <t xml:space="preserve">（各</t>
    </r>
    <r>
      <rPr>
        <sz val="9"/>
        <color rgb="FF000000"/>
        <rFont val="Meiryo UI"/>
        <family val="0"/>
        <charset val="1"/>
      </rPr>
      <t xml:space="preserve">15%</t>
    </r>
    <r>
      <rPr>
        <sz val="9"/>
        <color rgb="FF000000"/>
        <rFont val="WenQuanYi Zen Hei"/>
        <family val="2"/>
      </rPr>
      <t xml:space="preserve">以上）</t>
    </r>
  </si>
  <si>
    <r>
      <rPr>
        <sz val="9"/>
        <color rgb="FF000000"/>
        <rFont val="WenQuanYi Zen Hei"/>
        <family val="2"/>
      </rPr>
      <t xml:space="preserve">約</t>
    </r>
    <r>
      <rPr>
        <sz val="9"/>
        <color rgb="FF000000"/>
        <rFont val="Meiryo UI"/>
        <family val="0"/>
        <charset val="1"/>
      </rPr>
      <t xml:space="preserve">8.3%</t>
    </r>
    <r>
      <rPr>
        <sz val="9"/>
        <color rgb="FF000000"/>
        <rFont val="WenQuanYi Zen Hei"/>
        <family val="2"/>
      </rPr>
      <t xml:space="preserve">（</t>
    </r>
    <r>
      <rPr>
        <sz val="9"/>
        <color rgb="FF000000"/>
        <rFont val="Meiryo UI"/>
        <family val="0"/>
        <charset val="1"/>
      </rPr>
      <t xml:space="preserve">4</t>
    </r>
    <r>
      <rPr>
        <sz val="9"/>
        <color rgb="FF000000"/>
        <rFont val="WenQuanYi Zen Hei"/>
        <family val="2"/>
      </rPr>
      <t xml:space="preserve">位）</t>
    </r>
  </si>
  <si>
    <r>
      <rPr>
        <sz val="9"/>
        <color rgb="FF000000"/>
        <rFont val="Meiryo UI"/>
        <family val="0"/>
        <charset val="1"/>
      </rPr>
      <t xml:space="preserve">5</t>
    </r>
    <r>
      <rPr>
        <sz val="9"/>
        <color rgb="FF000000"/>
        <rFont val="WenQuanYi Zen Hei"/>
        <family val="2"/>
      </rPr>
      <t xml:space="preserve">位圏</t>
    </r>
  </si>
  <si>
    <r>
      <rPr>
        <sz val="9"/>
        <color rgb="FF000000"/>
        <rFont val="WenQuanYi Zen Hei"/>
        <family val="2"/>
      </rPr>
      <t xml:space="preserve">コンビニ向けマルチコピー機はシャープが国内</t>
    </r>
    <r>
      <rPr>
        <sz val="9"/>
        <color rgb="FF000000"/>
        <rFont val="Meiryo UI"/>
        <family val="0"/>
        <charset val="1"/>
      </rPr>
      <t xml:space="preserve">1</t>
    </r>
    <r>
      <rPr>
        <sz val="9"/>
        <color rgb="FF000000"/>
        <rFont val="WenQuanYi Zen Hei"/>
        <family val="2"/>
      </rPr>
      <t xml:space="preserve">位（約</t>
    </r>
    <r>
      <rPr>
        <sz val="9"/>
        <color rgb="FF000000"/>
        <rFont val="Meiryo UI"/>
        <family val="0"/>
        <charset val="1"/>
      </rPr>
      <t xml:space="preserve">6</t>
    </r>
    <r>
      <rPr>
        <sz val="9"/>
        <color rgb="FF000000"/>
        <rFont val="WenQuanYi Zen Hei"/>
        <family val="2"/>
      </rPr>
      <t xml:space="preserve">割）</t>
    </r>
  </si>
  <si>
    <r>
      <rPr>
        <b val="true"/>
        <sz val="9"/>
        <color rgb="FF000000"/>
        <rFont val="WenQuanYi Zen Hei"/>
        <family val="2"/>
      </rPr>
      <t xml:space="preserve">電波新聞デジタル（</t>
    </r>
    <r>
      <rPr>
        <b val="true"/>
        <sz val="9"/>
        <color rgb="FF000000"/>
        <rFont val="Meiryo UI"/>
        <family val="0"/>
        <charset val="1"/>
      </rPr>
      <t xml:space="preserve">2025</t>
    </r>
    <r>
      <rPr>
        <b val="true"/>
        <sz val="9"/>
        <color rgb="FF000000"/>
        <rFont val="WenQuanYi Zen Hei"/>
        <family val="2"/>
      </rPr>
      <t xml:space="preserve">年トレンド記事）</t>
    </r>
  </si>
  <si>
    <r>
      <rPr>
        <sz val="9"/>
        <color rgb="FF000000"/>
        <rFont val="WenQuanYi Zen Hei"/>
        <family val="2"/>
      </rPr>
      <t xml:space="preserve">出荷台数シェアは</t>
    </r>
    <r>
      <rPr>
        <sz val="9"/>
        <color rgb="FF000000"/>
        <rFont val="Meiryo UI"/>
        <family val="0"/>
        <charset val="1"/>
      </rPr>
      <t xml:space="preserve">1</t>
    </r>
    <r>
      <rPr>
        <sz val="9"/>
        <color rgb="FF000000"/>
        <rFont val="WenQuanYi Zen Hei"/>
        <family val="2"/>
      </rPr>
      <t xml:space="preserve">位キヤノン、</t>
    </r>
    <r>
      <rPr>
        <sz val="9"/>
        <color rgb="FF000000"/>
        <rFont val="Meiryo UI"/>
        <family val="0"/>
        <charset val="1"/>
      </rPr>
      <t xml:space="preserve">2</t>
    </r>
    <r>
      <rPr>
        <sz val="9"/>
        <color rgb="FF000000"/>
        <rFont val="WenQuanYi Zen Hei"/>
        <family val="2"/>
      </rPr>
      <t xml:space="preserve">位リコーと報道</t>
    </r>
  </si>
  <si>
    <r>
      <rPr>
        <sz val="9"/>
        <color rgb="FF000000"/>
        <rFont val="Meiryo UI"/>
        <family val="0"/>
        <charset val="1"/>
      </rPr>
      <t xml:space="preserve">IDC Japan</t>
    </r>
    <r>
      <rPr>
        <sz val="9"/>
        <color rgb="FF000000"/>
        <rFont val="WenQuanYi Zen Hei"/>
        <family val="2"/>
      </rPr>
      <t xml:space="preserve">・データサプライの確定値は有料レポートのため未取得</t>
    </r>
  </si>
  <si>
    <t xml:space="preserve">※国内シェアの公的な確定値は存在しない。調査主体・手法により数値が大きく異なるため、幅を持って解釈されたい。</t>
  </si>
  <si>
    <r>
      <rPr>
        <b val="true"/>
        <sz val="11"/>
        <color rgb="FFFFFFFF"/>
        <rFont val="Meiryo UI"/>
        <family val="0"/>
        <charset val="1"/>
      </rPr>
      <t xml:space="preserve">4. </t>
    </r>
    <r>
      <rPr>
        <b val="true"/>
        <sz val="11"/>
        <color rgb="FFFFFFFF"/>
        <rFont val="WenQuanYi Zen Hei"/>
        <family val="2"/>
      </rPr>
      <t xml:space="preserve">市場トレンド（</t>
    </r>
    <r>
      <rPr>
        <b val="true"/>
        <sz val="11"/>
        <color rgb="FFFFFFFF"/>
        <rFont val="Meiryo UI"/>
        <family val="0"/>
        <charset val="1"/>
      </rPr>
      <t xml:space="preserve">2024</t>
    </r>
    <r>
      <rPr>
        <b val="true"/>
        <sz val="11"/>
        <color rgb="FFFFFFFF"/>
        <rFont val="WenQuanYi Zen Hei"/>
        <family val="2"/>
      </rPr>
      <t xml:space="preserve">〜</t>
    </r>
    <r>
      <rPr>
        <b val="true"/>
        <sz val="11"/>
        <color rgb="FFFFFFFF"/>
        <rFont val="Meiryo UI"/>
        <family val="0"/>
        <charset val="1"/>
      </rPr>
      <t xml:space="preserve">2026</t>
    </r>
    <r>
      <rPr>
        <b val="true"/>
        <sz val="11"/>
        <color rgb="FFFFFFFF"/>
        <rFont val="WenQuanYi Zen Hei"/>
        <family val="2"/>
      </rPr>
      <t xml:space="preserve">年）</t>
    </r>
  </si>
  <si>
    <t xml:space="preserve">トレンド</t>
  </si>
  <si>
    <t xml:space="preserve">各社の対応例</t>
  </si>
  <si>
    <t xml:space="preserve">ペーパーレス化・市場縮小</t>
  </si>
  <si>
    <r>
      <rPr>
        <sz val="9"/>
        <color rgb="FF000000"/>
        <rFont val="WenQuanYi Zen Hei"/>
        <family val="2"/>
      </rPr>
      <t xml:space="preserve">印刷ボリューム漸減。出荷はコロナ前水準に戻らず</t>
    </r>
    <r>
      <rPr>
        <sz val="9"/>
        <color rgb="FF000000"/>
        <rFont val="Meiryo UI"/>
        <family val="0"/>
        <charset val="1"/>
      </rPr>
      <t xml:space="preserve">45</t>
    </r>
    <r>
      <rPr>
        <sz val="9"/>
        <color rgb="FF000000"/>
        <rFont val="WenQuanYi Zen Hei"/>
        <family val="2"/>
      </rPr>
      <t xml:space="preserve">万台で推移</t>
    </r>
  </si>
  <si>
    <r>
      <rPr>
        <sz val="9"/>
        <color rgb="FF000000"/>
        <rFont val="WenQuanYi Zen Hei"/>
        <family val="2"/>
      </rPr>
      <t xml:space="preserve">サービス・ストック収益へ全社シフト（リコーはオフィスサービスのストック売上が前年比</t>
    </r>
    <r>
      <rPr>
        <sz val="9"/>
        <color rgb="FF000000"/>
        <rFont val="Meiryo UI"/>
        <family val="0"/>
        <charset val="1"/>
      </rPr>
      <t xml:space="preserve">+14%</t>
    </r>
    <r>
      <rPr>
        <sz val="9"/>
        <color rgb="FF000000"/>
        <rFont val="WenQuanYi Zen Hei"/>
        <family val="2"/>
      </rPr>
      <t xml:space="preserve">）</t>
    </r>
  </si>
  <si>
    <r>
      <rPr>
        <b val="true"/>
        <sz val="9"/>
        <color rgb="FF000000"/>
        <rFont val="Meiryo UI"/>
        <family val="0"/>
        <charset val="1"/>
      </rPr>
      <t xml:space="preserve">A4</t>
    </r>
    <r>
      <rPr>
        <b val="true"/>
        <sz val="9"/>
        <color rgb="FF000000"/>
        <rFont val="WenQuanYi Zen Hei"/>
        <family val="2"/>
      </rPr>
      <t xml:space="preserve">シフト</t>
    </r>
  </si>
  <si>
    <r>
      <rPr>
        <sz val="9"/>
        <color rgb="FF000000"/>
        <rFont val="WenQuanYi Zen Hei"/>
        <family val="2"/>
      </rPr>
      <t xml:space="preserve">本体価格・設置スペースを半分以下に抑える</t>
    </r>
    <r>
      <rPr>
        <sz val="9"/>
        <color rgb="FF000000"/>
        <rFont val="Meiryo UI"/>
        <family val="0"/>
        <charset val="1"/>
      </rPr>
      <t xml:space="preserve">A4</t>
    </r>
    <r>
      <rPr>
        <sz val="9"/>
        <color rgb="FF000000"/>
        <rFont val="WenQuanYi Zen Hei"/>
        <family val="2"/>
      </rPr>
      <t xml:space="preserve">機提案が拡大</t>
    </r>
  </si>
  <si>
    <r>
      <rPr>
        <sz val="9"/>
        <color rgb="FF000000"/>
        <rFont val="WenQuanYi Zen Hei"/>
        <family val="2"/>
      </rPr>
      <t xml:space="preserve">各社</t>
    </r>
    <r>
      <rPr>
        <sz val="9"/>
        <color rgb="FF000000"/>
        <rFont val="Meiryo UI"/>
        <family val="0"/>
        <charset val="1"/>
      </rPr>
      <t xml:space="preserve">A4</t>
    </r>
    <r>
      <rPr>
        <sz val="9"/>
        <color rgb="FF000000"/>
        <rFont val="WenQuanYi Zen Hei"/>
        <family val="2"/>
      </rPr>
      <t xml:space="preserve">カラー機を強化（リコー</t>
    </r>
    <r>
      <rPr>
        <sz val="9"/>
        <color rgb="FF000000"/>
        <rFont val="Meiryo UI"/>
        <family val="0"/>
        <charset val="1"/>
      </rPr>
      <t xml:space="preserve">IM C431</t>
    </r>
    <r>
      <rPr>
        <sz val="9"/>
        <color rgb="FF000000"/>
        <rFont val="WenQuanYi Zen Hei"/>
        <family val="2"/>
      </rPr>
      <t xml:space="preserve">、キヤノン</t>
    </r>
    <r>
      <rPr>
        <sz val="9"/>
        <color rgb="FF000000"/>
        <rFont val="Meiryo UI"/>
        <family val="0"/>
        <charset val="1"/>
      </rPr>
      <t xml:space="preserve">imageFORCE C431F</t>
    </r>
    <r>
      <rPr>
        <sz val="9"/>
        <color rgb="FF000000"/>
        <rFont val="WenQuanYi Zen Hei"/>
        <family val="2"/>
      </rPr>
      <t xml:space="preserve">、シャープ</t>
    </r>
    <r>
      <rPr>
        <sz val="9"/>
        <color rgb="FF000000"/>
        <rFont val="Meiryo UI"/>
        <family val="0"/>
        <charset val="1"/>
      </rPr>
      <t xml:space="preserve">BP-C131WD</t>
    </r>
    <r>
      <rPr>
        <sz val="9"/>
        <color rgb="FF000000"/>
        <rFont val="WenQuanYi Zen Hei"/>
        <family val="2"/>
      </rPr>
      <t xml:space="preserve">等）</t>
    </r>
  </si>
  <si>
    <r>
      <rPr>
        <b val="true"/>
        <sz val="9"/>
        <color rgb="FF000000"/>
        <rFont val="WenQuanYi Zen Hei"/>
        <family val="2"/>
      </rPr>
      <t xml:space="preserve">クラウド／</t>
    </r>
    <r>
      <rPr>
        <b val="true"/>
        <sz val="9"/>
        <color rgb="FF000000"/>
        <rFont val="Meiryo UI"/>
        <family val="0"/>
        <charset val="1"/>
      </rPr>
      <t xml:space="preserve">DX</t>
    </r>
    <r>
      <rPr>
        <b val="true"/>
        <sz val="9"/>
        <color rgb="FF000000"/>
        <rFont val="WenQuanYi Zen Hei"/>
        <family val="2"/>
      </rPr>
      <t xml:space="preserve">連携</t>
    </r>
  </si>
  <si>
    <r>
      <rPr>
        <sz val="9"/>
        <color rgb="FF000000"/>
        <rFont val="WenQuanYi Zen Hei"/>
        <family val="2"/>
      </rPr>
      <t xml:space="preserve">複合機を「</t>
    </r>
    <r>
      <rPr>
        <sz val="9"/>
        <color rgb="FF000000"/>
        <rFont val="Meiryo UI"/>
        <family val="0"/>
        <charset val="1"/>
      </rPr>
      <t xml:space="preserve">DX</t>
    </r>
    <r>
      <rPr>
        <sz val="9"/>
        <color rgb="FF000000"/>
        <rFont val="WenQuanYi Zen Hei"/>
        <family val="2"/>
      </rPr>
      <t xml:space="preserve">の入口・エッジデバイス」と位置付ける動きが標準化</t>
    </r>
  </si>
  <si>
    <r>
      <rPr>
        <sz val="9"/>
        <color rgb="FF000000"/>
        <rFont val="Meiryo UI"/>
        <family val="0"/>
        <charset val="1"/>
      </rPr>
      <t xml:space="preserve">RICOH Smart Integration</t>
    </r>
    <r>
      <rPr>
        <sz val="9"/>
        <color rgb="FF000000"/>
        <rFont val="WenQuanYi Zen Hei"/>
        <family val="2"/>
      </rPr>
      <t xml:space="preserve">、</t>
    </r>
    <r>
      <rPr>
        <sz val="9"/>
        <color rgb="FF000000"/>
        <rFont val="Meiryo UI"/>
        <family val="0"/>
        <charset val="1"/>
      </rPr>
      <t xml:space="preserve">uniFLOW Online</t>
    </r>
    <r>
      <rPr>
        <sz val="9"/>
        <color rgb="FF000000"/>
        <rFont val="WenQuanYi Zen Hei"/>
        <family val="2"/>
      </rPr>
      <t xml:space="preserve">、</t>
    </r>
    <r>
      <rPr>
        <sz val="9"/>
        <color rgb="FF000000"/>
        <rFont val="Meiryo UI"/>
        <family val="0"/>
        <charset val="1"/>
      </rPr>
      <t xml:space="preserve">FUJIFILM IWpro</t>
    </r>
    <r>
      <rPr>
        <sz val="9"/>
        <color rgb="FF000000"/>
        <rFont val="WenQuanYi Zen Hei"/>
        <family val="2"/>
      </rPr>
      <t xml:space="preserve">、</t>
    </r>
    <r>
      <rPr>
        <sz val="9"/>
        <color rgb="FF000000"/>
        <rFont val="Meiryo UI"/>
        <family val="0"/>
        <charset val="1"/>
      </rPr>
      <t xml:space="preserve">COCORO OFFICE</t>
    </r>
    <r>
      <rPr>
        <sz val="9"/>
        <color rgb="FF000000"/>
        <rFont val="WenQuanYi Zen Hei"/>
        <family val="2"/>
      </rPr>
      <t xml:space="preserve">、</t>
    </r>
    <r>
      <rPr>
        <sz val="9"/>
        <color rgb="FF000000"/>
        <rFont val="Meiryo UI"/>
        <family val="0"/>
        <charset val="1"/>
      </rPr>
      <t xml:space="preserve">bizhub essentials</t>
    </r>
  </si>
  <si>
    <t xml:space="preserve">セキュリティ要件の高度化</t>
  </si>
  <si>
    <r>
      <rPr>
        <sz val="9"/>
        <color rgb="FF000000"/>
        <rFont val="Meiryo UI"/>
        <family val="0"/>
        <charset val="1"/>
      </rPr>
      <t xml:space="preserve">HCD-PP</t>
    </r>
    <r>
      <rPr>
        <sz val="9"/>
        <color rgb="FF000000"/>
        <rFont val="WenQuanYi Zen Hei"/>
        <family val="2"/>
      </rPr>
      <t xml:space="preserve">（政府調達要件）準拠、ゼロトラスト、ウイルス対策の標準化</t>
    </r>
  </si>
  <si>
    <r>
      <rPr>
        <sz val="9"/>
        <color rgb="FF000000"/>
        <rFont val="WenQuanYi Zen Hei"/>
        <family val="2"/>
      </rPr>
      <t xml:space="preserve">コニカ：本体</t>
    </r>
    <r>
      <rPr>
        <sz val="9"/>
        <color rgb="FF000000"/>
        <rFont val="Meiryo UI"/>
        <family val="0"/>
        <charset val="1"/>
      </rPr>
      <t xml:space="preserve">Bitdefender</t>
    </r>
    <r>
      <rPr>
        <sz val="9"/>
        <color rgb="FF000000"/>
        <rFont val="WenQuanYi Zen Hei"/>
        <family val="2"/>
      </rPr>
      <t xml:space="preserve">標準／キヤノン：</t>
    </r>
    <r>
      <rPr>
        <sz val="9"/>
        <color rgb="FF000000"/>
        <rFont val="Meiryo UI"/>
        <family val="0"/>
        <charset val="1"/>
      </rPr>
      <t xml:space="preserve">AI</t>
    </r>
    <r>
      <rPr>
        <sz val="9"/>
        <color rgb="FF000000"/>
        <rFont val="WenQuanYi Zen Hei"/>
        <family val="2"/>
      </rPr>
      <t xml:space="preserve">設定推奨／シャープ：</t>
    </r>
    <r>
      <rPr>
        <sz val="9"/>
        <color rgb="FF000000"/>
        <rFont val="Meiryo UI"/>
        <family val="0"/>
        <charset val="1"/>
      </rPr>
      <t xml:space="preserve">UTM</t>
    </r>
    <r>
      <rPr>
        <sz val="9"/>
        <color rgb="FF000000"/>
        <rFont val="WenQuanYi Zen Hei"/>
        <family val="2"/>
      </rPr>
      <t xml:space="preserve">オプション／リコー：</t>
    </r>
    <r>
      <rPr>
        <sz val="9"/>
        <color rgb="FF000000"/>
        <rFont val="Meiryo UI"/>
        <family val="0"/>
        <charset val="1"/>
      </rPr>
      <t xml:space="preserve">TLS1.3</t>
    </r>
    <r>
      <rPr>
        <sz val="9"/>
        <color rgb="FF000000"/>
        <rFont val="WenQuanYi Zen Hei"/>
        <family val="2"/>
      </rPr>
      <t xml:space="preserve">・</t>
    </r>
    <r>
      <rPr>
        <sz val="9"/>
        <color rgb="FF000000"/>
        <rFont val="Meiryo UI"/>
        <family val="0"/>
        <charset val="1"/>
      </rPr>
      <t xml:space="preserve">TPM2.0</t>
    </r>
  </si>
  <si>
    <r>
      <rPr>
        <b val="true"/>
        <sz val="9"/>
        <color rgb="FF000000"/>
        <rFont val="Meiryo UI"/>
        <family val="0"/>
        <charset val="1"/>
      </rPr>
      <t xml:space="preserve">AI</t>
    </r>
    <r>
      <rPr>
        <b val="true"/>
        <sz val="9"/>
        <color rgb="FF000000"/>
        <rFont val="WenQuanYi Zen Hei"/>
        <family val="2"/>
      </rPr>
      <t xml:space="preserve">実装の始まり</t>
    </r>
  </si>
  <si>
    <r>
      <rPr>
        <sz val="9"/>
        <color rgb="FF000000"/>
        <rFont val="WenQuanYi Zen Hei"/>
        <family val="2"/>
      </rPr>
      <t xml:space="preserve">操作サポート・画像処理・保守に</t>
    </r>
    <r>
      <rPr>
        <sz val="9"/>
        <color rgb="FF000000"/>
        <rFont val="Meiryo UI"/>
        <family val="0"/>
        <charset val="1"/>
      </rPr>
      <t xml:space="preserve">AI</t>
    </r>
    <r>
      <rPr>
        <sz val="9"/>
        <color rgb="FF000000"/>
        <rFont val="WenQuanYi Zen Hei"/>
        <family val="2"/>
      </rPr>
      <t xml:space="preserve">適用が広がる</t>
    </r>
  </si>
  <si>
    <r>
      <rPr>
        <sz val="9"/>
        <color rgb="FF000000"/>
        <rFont val="WenQuanYi Zen Hei"/>
        <family val="2"/>
      </rPr>
      <t xml:space="preserve">シャープ生成</t>
    </r>
    <r>
      <rPr>
        <sz val="9"/>
        <color rgb="FF000000"/>
        <rFont val="Meiryo UI"/>
        <family val="0"/>
        <charset val="1"/>
      </rPr>
      <t xml:space="preserve">AI</t>
    </r>
    <r>
      <rPr>
        <sz val="9"/>
        <color rgb="FF000000"/>
        <rFont val="WenQuanYi Zen Hei"/>
        <family val="2"/>
      </rPr>
      <t xml:space="preserve">ガイド、リコー</t>
    </r>
    <r>
      <rPr>
        <sz val="9"/>
        <color rgb="FF000000"/>
        <rFont val="Meiryo UI"/>
        <family val="0"/>
        <charset val="1"/>
      </rPr>
      <t xml:space="preserve">AI</t>
    </r>
    <r>
      <rPr>
        <sz val="9"/>
        <color rgb="FF000000"/>
        <rFont val="WenQuanYi Zen Hei"/>
        <family val="2"/>
      </rPr>
      <t xml:space="preserve">天地補正、富士フイルム</t>
    </r>
    <r>
      <rPr>
        <sz val="9"/>
        <color rgb="FF000000"/>
        <rFont val="Meiryo UI"/>
        <family val="0"/>
        <charset val="1"/>
      </rPr>
      <t xml:space="preserve">BI</t>
    </r>
    <r>
      <rPr>
        <sz val="9"/>
        <color rgb="FF000000"/>
        <rFont val="WenQuanYi Zen Hei"/>
        <family val="2"/>
      </rPr>
      <t xml:space="preserve">の</t>
    </r>
    <r>
      <rPr>
        <sz val="9"/>
        <color rgb="FF000000"/>
        <rFont val="Meiryo UI"/>
        <family val="0"/>
        <charset val="1"/>
      </rPr>
      <t xml:space="preserve">AI</t>
    </r>
    <r>
      <rPr>
        <sz val="9"/>
        <color rgb="FF000000"/>
        <rFont val="WenQuanYi Zen Hei"/>
        <family val="2"/>
      </rPr>
      <t xml:space="preserve">保守基盤（</t>
    </r>
    <r>
      <rPr>
        <sz val="9"/>
        <color rgb="FF000000"/>
        <rFont val="Meiryo UI"/>
        <family val="0"/>
        <charset val="1"/>
      </rPr>
      <t xml:space="preserve">2026/10</t>
    </r>
    <r>
      <rPr>
        <sz val="9"/>
        <color rgb="FF000000"/>
        <rFont val="WenQuanYi Zen Hei"/>
        <family val="2"/>
      </rPr>
      <t xml:space="preserve">〜）</t>
    </r>
  </si>
  <si>
    <t xml:space="preserve">環境・サーキュラーエコノミー</t>
  </si>
  <si>
    <t xml:space="preserve">再生複合機・再生プラスチック・カーボンオフセットが商談要件に</t>
  </si>
  <si>
    <r>
      <rPr>
        <sz val="9"/>
        <color rgb="FF000000"/>
        <rFont val="WenQuanYi Zen Hei"/>
        <family val="2"/>
      </rPr>
      <t xml:space="preserve">再生機：キヤノン</t>
    </r>
    <r>
      <rPr>
        <sz val="9"/>
        <color rgb="FF000000"/>
        <rFont val="Meiryo UI"/>
        <family val="0"/>
        <charset val="1"/>
      </rPr>
      <t xml:space="preserve">Refreshed</t>
    </r>
    <r>
      <rPr>
        <sz val="9"/>
        <color rgb="FF000000"/>
        <rFont val="WenQuanYi Zen Hei"/>
        <family val="2"/>
      </rPr>
      <t xml:space="preserve">（リユース率</t>
    </r>
    <r>
      <rPr>
        <sz val="9"/>
        <color rgb="FF000000"/>
        <rFont val="Meiryo UI"/>
        <family val="0"/>
        <charset val="1"/>
      </rPr>
      <t xml:space="preserve">90%</t>
    </r>
    <r>
      <rPr>
        <sz val="9"/>
        <color rgb="FF000000"/>
        <rFont val="WenQuanYi Zen Hei"/>
        <family val="2"/>
      </rPr>
      <t xml:space="preserve">超）、リコー</t>
    </r>
    <r>
      <rPr>
        <sz val="9"/>
        <color rgb="FF000000"/>
        <rFont val="Meiryo UI"/>
        <family val="0"/>
        <charset val="1"/>
      </rPr>
      <t xml:space="preserve">CE</t>
    </r>
    <r>
      <rPr>
        <sz val="9"/>
        <color rgb="FF000000"/>
        <rFont val="WenQuanYi Zen Hei"/>
        <family val="2"/>
      </rPr>
      <t xml:space="preserve">シリーズ（</t>
    </r>
    <r>
      <rPr>
        <sz val="9"/>
        <color rgb="FF000000"/>
        <rFont val="Meiryo UI"/>
        <family val="0"/>
        <charset val="1"/>
      </rPr>
      <t xml:space="preserve">86%</t>
    </r>
    <r>
      <rPr>
        <sz val="9"/>
        <color rgb="FF000000"/>
        <rFont val="WenQuanYi Zen Hei"/>
        <family val="2"/>
      </rPr>
      <t xml:space="preserve">）、富士フイルム</t>
    </r>
    <r>
      <rPr>
        <sz val="9"/>
        <color rgb="FF000000"/>
        <rFont val="Meiryo UI"/>
        <family val="0"/>
        <charset val="1"/>
      </rPr>
      <t xml:space="preserve">BI</t>
    </r>
    <r>
      <rPr>
        <sz val="9"/>
        <color rgb="FF000000"/>
        <rFont val="WenQuanYi Zen Hei"/>
        <family val="2"/>
      </rPr>
      <t xml:space="preserve">（</t>
    </r>
    <r>
      <rPr>
        <sz val="9"/>
        <color rgb="FF000000"/>
        <rFont val="Meiryo UI"/>
        <family val="0"/>
        <charset val="1"/>
      </rPr>
      <t xml:space="preserve">84%</t>
    </r>
    <r>
      <rPr>
        <sz val="9"/>
        <color rgb="FF000000"/>
        <rFont val="WenQuanYi Zen Hei"/>
        <family val="2"/>
      </rPr>
      <t xml:space="preserve">）、コニカ</t>
    </r>
    <r>
      <rPr>
        <sz val="9"/>
        <color rgb="FF000000"/>
        <rFont val="Meiryo UI"/>
        <family val="0"/>
        <charset val="1"/>
      </rPr>
      <t xml:space="preserve">RM</t>
    </r>
    <r>
      <rPr>
        <sz val="9"/>
        <color rgb="FF000000"/>
        <rFont val="WenQuanYi Zen Hei"/>
        <family val="2"/>
      </rPr>
      <t xml:space="preserve">（</t>
    </r>
    <r>
      <rPr>
        <sz val="9"/>
        <color rgb="FF000000"/>
        <rFont val="Meiryo UI"/>
        <family val="0"/>
        <charset val="1"/>
      </rPr>
      <t xml:space="preserve">80%</t>
    </r>
    <r>
      <rPr>
        <sz val="9"/>
        <color rgb="FF000000"/>
        <rFont val="WenQuanYi Zen Hei"/>
        <family val="2"/>
      </rPr>
      <t xml:space="preserve">以上）</t>
    </r>
  </si>
  <si>
    <r>
      <rPr>
        <b val="true"/>
        <sz val="11"/>
        <color rgb="FFFFFFFF"/>
        <rFont val="Meiryo UI"/>
        <family val="0"/>
        <charset val="1"/>
      </rPr>
      <t xml:space="preserve">5. </t>
    </r>
    <r>
      <rPr>
        <b val="true"/>
        <sz val="11"/>
        <color rgb="FFFFFFFF"/>
        <rFont val="WenQuanYi Zen Hei"/>
        <family val="2"/>
      </rPr>
      <t xml:space="preserve">業界再編の動き（アライアンスマップ）</t>
    </r>
  </si>
  <si>
    <t xml:space="preserve">再編・提携</t>
  </si>
  <si>
    <t xml:space="preserve">当事者・時期</t>
  </si>
  <si>
    <t xml:space="preserve">競争への含意</t>
  </si>
  <si>
    <r>
      <rPr>
        <b val="true"/>
        <sz val="9"/>
        <color rgb="FF000000"/>
        <rFont val="Meiryo UI"/>
        <family val="0"/>
        <charset val="1"/>
      </rPr>
      <t xml:space="preserve">ETRIA</t>
    </r>
    <r>
      <rPr>
        <b val="true"/>
        <sz val="9"/>
        <color rgb="FF000000"/>
        <rFont val="WenQuanYi Zen Hei"/>
        <family val="2"/>
      </rPr>
      <t xml:space="preserve">（エトリア）</t>
    </r>
  </si>
  <si>
    <r>
      <rPr>
        <sz val="9"/>
        <color rgb="FF000000"/>
        <rFont val="WenQuanYi Zen Hei"/>
        <family val="2"/>
      </rPr>
      <t xml:space="preserve">リコー</t>
    </r>
    <r>
      <rPr>
        <sz val="9"/>
        <color rgb="FF000000"/>
        <rFont val="Meiryo UI"/>
        <family val="0"/>
        <charset val="1"/>
      </rPr>
      <t xml:space="preserve">×</t>
    </r>
    <r>
      <rPr>
        <sz val="9"/>
        <color rgb="FF000000"/>
        <rFont val="WenQuanYi Zen Hei"/>
        <family val="2"/>
      </rPr>
      <t xml:space="preserve">東芝テック（</t>
    </r>
    <r>
      <rPr>
        <sz val="9"/>
        <color rgb="FF000000"/>
        <rFont val="Meiryo UI"/>
        <family val="0"/>
        <charset val="1"/>
      </rPr>
      <t xml:space="preserve">2024/7</t>
    </r>
    <r>
      <rPr>
        <sz val="9"/>
        <color rgb="FF000000"/>
        <rFont val="WenQuanYi Zen Hei"/>
        <family val="2"/>
      </rPr>
      <t xml:space="preserve">設立）→</t>
    </r>
    <r>
      <rPr>
        <sz val="9"/>
        <color rgb="FF000000"/>
        <rFont val="Meiryo UI"/>
        <family val="0"/>
        <charset val="1"/>
      </rPr>
      <t xml:space="preserve">OKI</t>
    </r>
    <r>
      <rPr>
        <sz val="9"/>
        <color rgb="FF000000"/>
        <rFont val="WenQuanYi Zen Hei"/>
        <family val="2"/>
      </rPr>
      <t xml:space="preserve">合流（</t>
    </r>
    <r>
      <rPr>
        <sz val="9"/>
        <color rgb="FF000000"/>
        <rFont val="Meiryo UI"/>
        <family val="0"/>
        <charset val="1"/>
      </rPr>
      <t xml:space="preserve">2025/10</t>
    </r>
    <r>
      <rPr>
        <sz val="9"/>
        <color rgb="FF000000"/>
        <rFont val="WenQuanYi Zen Hei"/>
        <family val="2"/>
      </rPr>
      <t xml:space="preserve">）</t>
    </r>
  </si>
  <si>
    <r>
      <rPr>
        <sz val="9"/>
        <color rgb="FF000000"/>
        <rFont val="WenQuanYi Zen Hei"/>
        <family val="2"/>
      </rPr>
      <t xml:space="preserve">複合機・プリンターのエンジン開発生産を統合。出資比率：リコー</t>
    </r>
    <r>
      <rPr>
        <sz val="9"/>
        <color rgb="FF000000"/>
        <rFont val="Meiryo UI"/>
        <family val="0"/>
        <charset val="1"/>
      </rPr>
      <t xml:space="preserve">80.74%</t>
    </r>
    <r>
      <rPr>
        <sz val="9"/>
        <color rgb="FF000000"/>
        <rFont val="WenQuanYi Zen Hei"/>
        <family val="2"/>
      </rPr>
      <t xml:space="preserve">／東芝テック</t>
    </r>
    <r>
      <rPr>
        <sz val="9"/>
        <color rgb="FF000000"/>
        <rFont val="Meiryo UI"/>
        <family val="0"/>
        <charset val="1"/>
      </rPr>
      <t xml:space="preserve">14.25%</t>
    </r>
    <r>
      <rPr>
        <sz val="9"/>
        <color rgb="FF000000"/>
        <rFont val="WenQuanYi Zen Hei"/>
        <family val="2"/>
      </rPr>
      <t xml:space="preserve">／</t>
    </r>
    <r>
      <rPr>
        <sz val="9"/>
        <color rgb="FF000000"/>
        <rFont val="Meiryo UI"/>
        <family val="0"/>
        <charset val="1"/>
      </rPr>
      <t xml:space="preserve">OKI 5.01%</t>
    </r>
    <r>
      <rPr>
        <sz val="9"/>
        <color rgb="FF000000"/>
        <rFont val="WenQuanYi Zen Hei"/>
        <family val="2"/>
      </rPr>
      <t xml:space="preserve">。</t>
    </r>
    <r>
      <rPr>
        <sz val="9"/>
        <color rgb="FF000000"/>
        <rFont val="Meiryo UI"/>
        <family val="0"/>
        <charset val="1"/>
      </rPr>
      <t xml:space="preserve">2028</t>
    </r>
    <r>
      <rPr>
        <sz val="9"/>
        <color rgb="FF000000"/>
        <rFont val="WenQuanYi Zen Hei"/>
        <family val="2"/>
      </rPr>
      <t xml:space="preserve">年度売上</t>
    </r>
    <r>
      <rPr>
        <sz val="9"/>
        <color rgb="FF000000"/>
        <rFont val="Meiryo UI"/>
        <family val="0"/>
        <charset val="1"/>
      </rPr>
      <t xml:space="preserve">5,000</t>
    </r>
    <r>
      <rPr>
        <sz val="9"/>
        <color rgb="FF000000"/>
        <rFont val="WenQuanYi Zen Hei"/>
        <family val="2"/>
      </rPr>
      <t xml:space="preserve">億円目標</t>
    </r>
  </si>
  <si>
    <t xml:space="preserve">生産規模で世界最大級。コスト競争力でリコー陣営が優位に立つ可能性</t>
  </si>
  <si>
    <t xml:space="preserve">グローバルプロキュアメントパートナーズ</t>
  </si>
  <si>
    <r>
      <rPr>
        <sz val="9"/>
        <color rgb="FF000000"/>
        <rFont val="WenQuanYi Zen Hei"/>
        <family val="2"/>
      </rPr>
      <t xml:space="preserve">富士フイルム</t>
    </r>
    <r>
      <rPr>
        <sz val="9"/>
        <color rgb="FF000000"/>
        <rFont val="Meiryo UI"/>
        <family val="0"/>
        <charset val="1"/>
      </rPr>
      <t xml:space="preserve">BI 75%×</t>
    </r>
    <r>
      <rPr>
        <sz val="9"/>
        <color rgb="FF000000"/>
        <rFont val="WenQuanYi Zen Hei"/>
        <family val="2"/>
      </rPr>
      <t xml:space="preserve">コニカミノルタ</t>
    </r>
    <r>
      <rPr>
        <sz val="9"/>
        <color rgb="FF000000"/>
        <rFont val="Meiryo UI"/>
        <family val="0"/>
        <charset val="1"/>
      </rPr>
      <t xml:space="preserve">25%</t>
    </r>
    <r>
      <rPr>
        <sz val="9"/>
        <color rgb="FF000000"/>
        <rFont val="WenQuanYi Zen Hei"/>
        <family val="2"/>
      </rPr>
      <t xml:space="preserve">（</t>
    </r>
    <r>
      <rPr>
        <sz val="9"/>
        <color rgb="FF000000"/>
        <rFont val="Meiryo UI"/>
        <family val="0"/>
        <charset val="1"/>
      </rPr>
      <t xml:space="preserve">2025/1/31</t>
    </r>
    <r>
      <rPr>
        <sz val="9"/>
        <color rgb="FF000000"/>
        <rFont val="WenQuanYi Zen Hei"/>
        <family val="2"/>
      </rPr>
      <t xml:space="preserve">設立）</t>
    </r>
  </si>
  <si>
    <r>
      <rPr>
        <sz val="9"/>
        <color rgb="FF000000"/>
        <rFont val="WenQuanYi Zen Hei"/>
        <family val="2"/>
      </rPr>
      <t xml:space="preserve">原材料・部材の共同調達会社。従業員</t>
    </r>
    <r>
      <rPr>
        <sz val="9"/>
        <color rgb="FF000000"/>
        <rFont val="Meiryo UI"/>
        <family val="0"/>
        <charset val="1"/>
      </rPr>
      <t xml:space="preserve">192</t>
    </r>
    <r>
      <rPr>
        <sz val="9"/>
        <color rgb="FF000000"/>
        <rFont val="WenQuanYi Zen Hei"/>
        <family val="2"/>
      </rPr>
      <t xml:space="preserve">人</t>
    </r>
  </si>
  <si>
    <t xml:space="preserve">調達コスト低減。両社の距離が縮まり、さらなる提携拡大の観測も</t>
  </si>
  <si>
    <r>
      <rPr>
        <b val="true"/>
        <sz val="9"/>
        <color rgb="FF000000"/>
        <rFont val="WenQuanYi Zen Hei"/>
        <family val="2"/>
      </rPr>
      <t xml:space="preserve">富士フイルム</t>
    </r>
    <r>
      <rPr>
        <b val="true"/>
        <sz val="9"/>
        <color rgb="FF000000"/>
        <rFont val="Meiryo UI"/>
        <family val="0"/>
        <charset val="1"/>
      </rPr>
      <t xml:space="preserve">BI</t>
    </r>
    <r>
      <rPr>
        <b val="true"/>
        <sz val="9"/>
        <color rgb="FF000000"/>
        <rFont val="WenQuanYi Zen Hei"/>
        <family val="2"/>
      </rPr>
      <t xml:space="preserve">の分離・上場検討</t>
    </r>
  </si>
  <si>
    <r>
      <rPr>
        <sz val="9"/>
        <color rgb="FF000000"/>
        <rFont val="WenQuanYi Zen Hei"/>
        <family val="2"/>
      </rPr>
      <t xml:space="preserve">富士フイルム</t>
    </r>
    <r>
      <rPr>
        <sz val="9"/>
        <color rgb="FF000000"/>
        <rFont val="Meiryo UI"/>
        <family val="0"/>
        <charset val="1"/>
      </rPr>
      <t xml:space="preserve">HD</t>
    </r>
    <r>
      <rPr>
        <sz val="9"/>
        <color rgb="FF000000"/>
        <rFont val="WenQuanYi Zen Hei"/>
        <family val="2"/>
      </rPr>
      <t xml:space="preserve">（</t>
    </r>
    <r>
      <rPr>
        <sz val="9"/>
        <color rgb="FF000000"/>
        <rFont val="Meiryo UI"/>
        <family val="0"/>
        <charset val="1"/>
      </rPr>
      <t xml:space="preserve">2026/8/6</t>
    </r>
    <r>
      <rPr>
        <sz val="9"/>
        <color rgb="FF000000"/>
        <rFont val="WenQuanYi Zen Hei"/>
        <family val="2"/>
      </rPr>
      <t xml:space="preserve">発表）</t>
    </r>
  </si>
  <si>
    <r>
      <rPr>
        <sz val="9"/>
        <color rgb="FF000000"/>
        <rFont val="WenQuanYi Zen Hei"/>
        <family val="2"/>
      </rPr>
      <t xml:space="preserve">複合機事業（ビジネスイノベーション）の分離・株式上場を</t>
    </r>
    <r>
      <rPr>
        <sz val="9"/>
        <color rgb="FF000000"/>
        <rFont val="Meiryo UI"/>
        <family val="0"/>
        <charset val="1"/>
      </rPr>
      <t xml:space="preserve">2</t>
    </r>
    <r>
      <rPr>
        <sz val="9"/>
        <color rgb="FF000000"/>
        <rFont val="WenQuanYi Zen Hei"/>
        <family val="2"/>
      </rPr>
      <t xml:space="preserve">〜</t>
    </r>
    <r>
      <rPr>
        <sz val="9"/>
        <color rgb="FF000000"/>
        <rFont val="Meiryo UI"/>
        <family val="0"/>
        <charset val="1"/>
      </rPr>
      <t xml:space="preserve">3</t>
    </r>
    <r>
      <rPr>
        <sz val="9"/>
        <color rgb="FF000000"/>
        <rFont val="WenQuanYi Zen Hei"/>
        <family val="2"/>
      </rPr>
      <t xml:space="preserve">年後を視野に検討</t>
    </r>
  </si>
  <si>
    <t xml:space="preserve">業界最大級の資本異動。独立後の投資余力・提携戦略が焦点に</t>
  </si>
  <si>
    <t xml:space="preserve">独立路線</t>
  </si>
  <si>
    <t xml:space="preserve">キヤノン／シャープ／京セラ</t>
  </si>
  <si>
    <t xml:space="preserve">現時点で生産・資本の他社連携なし</t>
  </si>
  <si>
    <t xml:space="preserve">自前主義の規模・コスト競争力が問われる展開</t>
  </si>
  <si>
    <r>
      <rPr>
        <b val="true"/>
        <sz val="14"/>
        <color rgb="FF1F3864"/>
        <rFont val="WenQuanYi Zen Hei"/>
        <family val="2"/>
      </rPr>
      <t xml:space="preserve">競合比較マトリクス（</t>
    </r>
    <r>
      <rPr>
        <b val="true"/>
        <sz val="14"/>
        <color rgb="FF1F3864"/>
        <rFont val="Meiryo UI"/>
        <family val="0"/>
        <charset val="1"/>
      </rPr>
      <t xml:space="preserve">5</t>
    </r>
    <r>
      <rPr>
        <b val="true"/>
        <sz val="14"/>
        <color rgb="FF1F3864"/>
        <rFont val="WenQuanYi Zen Hei"/>
        <family val="2"/>
      </rPr>
      <t xml:space="preserve">社</t>
    </r>
    <r>
      <rPr>
        <b val="true"/>
        <sz val="14"/>
        <color rgb="FF1F3864"/>
        <rFont val="Meiryo UI"/>
        <family val="0"/>
        <charset val="1"/>
      </rPr>
      <t xml:space="preserve">×18</t>
    </r>
    <r>
      <rPr>
        <b val="true"/>
        <sz val="14"/>
        <color rgb="FF1F3864"/>
        <rFont val="WenQuanYi Zen Hei"/>
        <family val="2"/>
      </rPr>
      <t xml:space="preserve">項目）</t>
    </r>
  </si>
  <si>
    <t xml:space="preserve">価格は税別のメーカー標準価格（※＝販売店公表値）。「推定」は公式未公表の推定値。</t>
  </si>
  <si>
    <t xml:space="preserve">比較項目</t>
  </si>
  <si>
    <t xml:space="preserve">会社・事業セグメント</t>
  </si>
  <si>
    <r>
      <rPr>
        <sz val="9"/>
        <color rgb="FF000000"/>
        <rFont val="WenQuanYi Zen Hei"/>
        <family val="2"/>
      </rPr>
      <t xml:space="preserve">富士フイルム</t>
    </r>
    <r>
      <rPr>
        <sz val="9"/>
        <color rgb="FF000000"/>
        <rFont val="Meiryo UI"/>
        <family val="0"/>
        <charset val="1"/>
      </rPr>
      <t xml:space="preserve">HD</t>
    </r>
    <r>
      <rPr>
        <sz val="9"/>
        <color rgb="FF000000"/>
        <rFont val="WenQuanYi Zen Hei"/>
        <family val="2"/>
      </rPr>
      <t xml:space="preserve">傘下（ビジネスイノベーション）。旧富士ゼロックス</t>
    </r>
  </si>
  <si>
    <r>
      <rPr>
        <sz val="9"/>
        <color rgb="FF000000"/>
        <rFont val="WenQuanYi Zen Hei"/>
        <family val="2"/>
      </rPr>
      <t xml:space="preserve">キヤノン（プリンティング事業）。販売はキヤノン</t>
    </r>
    <r>
      <rPr>
        <sz val="9"/>
        <color rgb="FF000000"/>
        <rFont val="Meiryo UI"/>
        <family val="0"/>
        <charset val="1"/>
      </rPr>
      <t xml:space="preserve">MJ</t>
    </r>
  </si>
  <si>
    <t xml:space="preserve">リコー（リコーデジタルサービス）</t>
  </si>
  <si>
    <t xml:space="preserve">シャープ（スマートオフィス事業）</t>
  </si>
  <si>
    <t xml:space="preserve">コニカミノルタ（デジタルワークプレイス事業）</t>
  </si>
  <si>
    <t xml:space="preserve">複合機関連 売上規模（直近期）</t>
  </si>
  <si>
    <r>
      <rPr>
        <sz val="9"/>
        <color rgb="FF000000"/>
        <rFont val="Meiryo UI"/>
        <family val="0"/>
        <charset val="1"/>
      </rPr>
      <t xml:space="preserve">1</t>
    </r>
    <r>
      <rPr>
        <sz val="9"/>
        <color rgb="FF000000"/>
        <rFont val="WenQuanYi Zen Hei"/>
        <family val="2"/>
      </rPr>
      <t xml:space="preserve">兆</t>
    </r>
    <r>
      <rPr>
        <sz val="9"/>
        <color rgb="FF000000"/>
        <rFont val="Meiryo UI"/>
        <family val="0"/>
        <charset val="1"/>
      </rPr>
      <t xml:space="preserve">1,748</t>
    </r>
    <r>
      <rPr>
        <sz val="9"/>
        <color rgb="FF000000"/>
        <rFont val="WenQuanYi Zen Hei"/>
        <family val="2"/>
      </rPr>
      <t xml:space="preserve">億円（</t>
    </r>
    <r>
      <rPr>
        <sz val="9"/>
        <color rgb="FF000000"/>
        <rFont val="Meiryo UI"/>
        <family val="0"/>
        <charset val="1"/>
      </rPr>
      <t xml:space="preserve">FY2025</t>
    </r>
    <r>
      <rPr>
        <sz val="9"/>
        <color rgb="FF000000"/>
        <rFont val="WenQuanYi Zen Hei"/>
        <family val="2"/>
      </rPr>
      <t xml:space="preserve">、</t>
    </r>
    <r>
      <rPr>
        <sz val="9"/>
        <color rgb="FF000000"/>
        <rFont val="Meiryo UI"/>
        <family val="0"/>
        <charset val="1"/>
      </rPr>
      <t xml:space="preserve">HD</t>
    </r>
    <r>
      <rPr>
        <sz val="9"/>
        <color rgb="FF000000"/>
        <rFont val="WenQuanYi Zen Hei"/>
        <family val="2"/>
      </rPr>
      <t xml:space="preserve">全体の約</t>
    </r>
    <r>
      <rPr>
        <sz val="9"/>
        <color rgb="FF000000"/>
        <rFont val="Meiryo UI"/>
        <family val="0"/>
        <charset val="1"/>
      </rPr>
      <t xml:space="preserve">35%</t>
    </r>
    <r>
      <rPr>
        <sz val="9"/>
        <color rgb="FF000000"/>
        <rFont val="WenQuanYi Zen Hei"/>
        <family val="2"/>
      </rPr>
      <t xml:space="preserve">）</t>
    </r>
  </si>
  <si>
    <r>
      <rPr>
        <sz val="9"/>
        <color rgb="FF000000"/>
        <rFont val="Meiryo UI"/>
        <family val="0"/>
        <charset val="1"/>
      </rPr>
      <t xml:space="preserve">2</t>
    </r>
    <r>
      <rPr>
        <sz val="9"/>
        <color rgb="FF000000"/>
        <rFont val="WenQuanYi Zen Hei"/>
        <family val="2"/>
      </rPr>
      <t xml:space="preserve">兆</t>
    </r>
    <r>
      <rPr>
        <sz val="9"/>
        <color rgb="FF000000"/>
        <rFont val="Meiryo UI"/>
        <family val="0"/>
        <charset val="1"/>
      </rPr>
      <t xml:space="preserve">4,944</t>
    </r>
    <r>
      <rPr>
        <sz val="9"/>
        <color rgb="FF000000"/>
        <rFont val="WenQuanYi Zen Hei"/>
        <family val="2"/>
      </rPr>
      <t xml:space="preserve">億円（</t>
    </r>
    <r>
      <rPr>
        <sz val="9"/>
        <color rgb="FF000000"/>
        <rFont val="Meiryo UI"/>
        <family val="0"/>
        <charset val="1"/>
      </rPr>
      <t xml:space="preserve">2025/12</t>
    </r>
    <r>
      <rPr>
        <sz val="9"/>
        <color rgb="FF000000"/>
        <rFont val="WenQuanYi Zen Hei"/>
        <family val="2"/>
      </rPr>
      <t xml:space="preserve">期、うちオフィス</t>
    </r>
    <r>
      <rPr>
        <sz val="9"/>
        <color rgb="FF000000"/>
        <rFont val="Meiryo UI"/>
        <family val="0"/>
        <charset val="1"/>
      </rPr>
      <t xml:space="preserve">MFP 6,470</t>
    </r>
    <r>
      <rPr>
        <sz val="9"/>
        <color rgb="FF000000"/>
        <rFont val="WenQuanYi Zen Hei"/>
        <family val="2"/>
      </rPr>
      <t xml:space="preserve">億円</t>
    </r>
    <r>
      <rPr>
        <sz val="9"/>
        <color rgb="FF000000"/>
        <rFont val="Meiryo UI"/>
        <family val="0"/>
        <charset val="1"/>
      </rPr>
      <t xml:space="preserve">=2024</t>
    </r>
    <r>
      <rPr>
        <sz val="9"/>
        <color rgb="FF000000"/>
        <rFont val="WenQuanYi Zen Hei"/>
        <family val="2"/>
      </rPr>
      <t xml:space="preserve">年）</t>
    </r>
  </si>
  <si>
    <r>
      <rPr>
        <sz val="9"/>
        <color rgb="FF000000"/>
        <rFont val="Meiryo UI"/>
        <family val="0"/>
        <charset val="1"/>
      </rPr>
      <t xml:space="preserve">1</t>
    </r>
    <r>
      <rPr>
        <sz val="9"/>
        <color rgb="FF000000"/>
        <rFont val="WenQuanYi Zen Hei"/>
        <family val="2"/>
      </rPr>
      <t xml:space="preserve">兆</t>
    </r>
    <r>
      <rPr>
        <sz val="9"/>
        <color rgb="FF000000"/>
        <rFont val="Meiryo UI"/>
        <family val="0"/>
        <charset val="1"/>
      </rPr>
      <t xml:space="preserve">9,270</t>
    </r>
    <r>
      <rPr>
        <sz val="9"/>
        <color rgb="FF000000"/>
        <rFont val="WenQuanYi Zen Hei"/>
        <family val="2"/>
      </rPr>
      <t xml:space="preserve">億円（</t>
    </r>
    <r>
      <rPr>
        <sz val="9"/>
        <color rgb="FF000000"/>
        <rFont val="Meiryo UI"/>
        <family val="0"/>
        <charset val="1"/>
      </rPr>
      <t xml:space="preserve">FY2025</t>
    </r>
    <r>
      <rPr>
        <sz val="9"/>
        <color rgb="FF000000"/>
        <rFont val="WenQuanYi Zen Hei"/>
        <family val="2"/>
      </rPr>
      <t xml:space="preserve">、営業利益</t>
    </r>
    <r>
      <rPr>
        <sz val="9"/>
        <color rgb="FF000000"/>
        <rFont val="Meiryo UI"/>
        <family val="0"/>
        <charset val="1"/>
      </rPr>
      <t xml:space="preserve">590</t>
    </r>
    <r>
      <rPr>
        <sz val="9"/>
        <color rgb="FF000000"/>
        <rFont val="WenQuanYi Zen Hei"/>
        <family val="2"/>
      </rPr>
      <t xml:space="preserve">億円）</t>
    </r>
  </si>
  <si>
    <r>
      <rPr>
        <sz val="9"/>
        <color rgb="FF000000"/>
        <rFont val="Meiryo UI"/>
        <family val="0"/>
        <charset val="1"/>
      </rPr>
      <t xml:space="preserve">6,806</t>
    </r>
    <r>
      <rPr>
        <sz val="9"/>
        <color rgb="FF000000"/>
        <rFont val="WenQuanYi Zen Hei"/>
        <family val="2"/>
      </rPr>
      <t xml:space="preserve">億円（</t>
    </r>
    <r>
      <rPr>
        <sz val="9"/>
        <color rgb="FF000000"/>
        <rFont val="Meiryo UI"/>
        <family val="0"/>
        <charset val="1"/>
      </rPr>
      <t xml:space="preserve">FY2024</t>
    </r>
    <r>
      <rPr>
        <sz val="9"/>
        <color rgb="FF000000"/>
        <rFont val="WenQuanYi Zen Hei"/>
        <family val="2"/>
      </rPr>
      <t xml:space="preserve">、営業利益</t>
    </r>
    <r>
      <rPr>
        <sz val="9"/>
        <color rgb="FF000000"/>
        <rFont val="Meiryo UI"/>
        <family val="0"/>
        <charset val="1"/>
      </rPr>
      <t xml:space="preserve">426</t>
    </r>
    <r>
      <rPr>
        <sz val="9"/>
        <color rgb="FF000000"/>
        <rFont val="WenQuanYi Zen Hei"/>
        <family val="2"/>
      </rPr>
      <t xml:space="preserve">億円）</t>
    </r>
  </si>
  <si>
    <r>
      <rPr>
        <sz val="9"/>
        <color rgb="FF000000"/>
        <rFont val="Meiryo UI"/>
        <family val="0"/>
        <charset val="1"/>
      </rPr>
      <t xml:space="preserve">6,204</t>
    </r>
    <r>
      <rPr>
        <sz val="9"/>
        <color rgb="FF000000"/>
        <rFont val="WenQuanYi Zen Hei"/>
        <family val="2"/>
      </rPr>
      <t xml:space="preserve">億円（</t>
    </r>
    <r>
      <rPr>
        <sz val="9"/>
        <color rgb="FF000000"/>
        <rFont val="Meiryo UI"/>
        <family val="0"/>
        <charset val="1"/>
      </rPr>
      <t xml:space="preserve">FY2025</t>
    </r>
    <r>
      <rPr>
        <sz val="9"/>
        <color rgb="FF000000"/>
        <rFont val="WenQuanYi Zen Hei"/>
        <family val="2"/>
      </rPr>
      <t xml:space="preserve">、全社の約</t>
    </r>
    <r>
      <rPr>
        <sz val="9"/>
        <color rgb="FF000000"/>
        <rFont val="Meiryo UI"/>
        <family val="0"/>
        <charset val="1"/>
      </rPr>
      <t xml:space="preserve">55%</t>
    </r>
    <r>
      <rPr>
        <sz val="9"/>
        <color rgb="FF000000"/>
        <rFont val="WenQuanYi Zen Hei"/>
        <family val="2"/>
      </rPr>
      <t xml:space="preserve">）</t>
    </r>
  </si>
  <si>
    <t xml:space="preserve">国内ポジション（第三者推定）</t>
  </si>
  <si>
    <r>
      <rPr>
        <sz val="9"/>
        <color rgb="FF000000"/>
        <rFont val="Meiryo UI"/>
        <family val="0"/>
        <charset val="1"/>
      </rPr>
      <t xml:space="preserve">2</t>
    </r>
    <r>
      <rPr>
        <sz val="9"/>
        <color rgb="FF000000"/>
        <rFont val="WenQuanYi Zen Hei"/>
        <family val="2"/>
      </rPr>
      <t xml:space="preserve">強の一角（約</t>
    </r>
    <r>
      <rPr>
        <sz val="9"/>
        <color rgb="FF000000"/>
        <rFont val="Meiryo UI"/>
        <family val="0"/>
        <charset val="1"/>
      </rPr>
      <t xml:space="preserve">3</t>
    </r>
    <r>
      <rPr>
        <sz val="9"/>
        <color rgb="FF000000"/>
        <rFont val="WenQuanYi Zen Hei"/>
        <family val="2"/>
      </rPr>
      <t xml:space="preserve">割とする調査）。</t>
    </r>
    <r>
      <rPr>
        <sz val="9"/>
        <color rgb="FF000000"/>
        <rFont val="Meiryo UI"/>
        <family val="0"/>
        <charset val="1"/>
      </rPr>
      <t xml:space="preserve">A3</t>
    </r>
    <r>
      <rPr>
        <sz val="9"/>
        <color rgb="FF000000"/>
        <rFont val="WenQuanYi Zen Hei"/>
        <family val="2"/>
      </rPr>
      <t xml:space="preserve">で長年トップクラス</t>
    </r>
  </si>
  <si>
    <r>
      <rPr>
        <sz val="9"/>
        <color rgb="FF000000"/>
        <rFont val="WenQuanYi Zen Hei"/>
        <family val="2"/>
      </rPr>
      <t xml:space="preserve">出荷台数</t>
    </r>
    <r>
      <rPr>
        <sz val="9"/>
        <color rgb="FF000000"/>
        <rFont val="Meiryo UI"/>
        <family val="0"/>
        <charset val="1"/>
      </rPr>
      <t xml:space="preserve">1</t>
    </r>
    <r>
      <rPr>
        <sz val="9"/>
        <color rgb="FF000000"/>
        <rFont val="WenQuanYi Zen Hei"/>
        <family val="2"/>
      </rPr>
      <t xml:space="preserve">位とする報道。</t>
    </r>
    <r>
      <rPr>
        <sz val="9"/>
        <color rgb="FF000000"/>
        <rFont val="Meiryo UI"/>
        <family val="0"/>
        <charset val="1"/>
      </rPr>
      <t xml:space="preserve">J.D.</t>
    </r>
    <r>
      <rPr>
        <sz val="9"/>
        <color rgb="FF000000"/>
        <rFont val="WenQuanYi Zen Hei"/>
        <family val="2"/>
      </rPr>
      <t xml:space="preserve">パワー顧客満足度</t>
    </r>
    <r>
      <rPr>
        <sz val="9"/>
        <color rgb="FF000000"/>
        <rFont val="Meiryo UI"/>
        <family val="0"/>
        <charset val="1"/>
      </rPr>
      <t xml:space="preserve">3</t>
    </r>
    <r>
      <rPr>
        <sz val="9"/>
        <color rgb="FF000000"/>
        <rFont val="WenQuanYi Zen Hei"/>
        <family val="2"/>
      </rPr>
      <t xml:space="preserve">年連続</t>
    </r>
    <r>
      <rPr>
        <sz val="9"/>
        <color rgb="FF000000"/>
        <rFont val="Meiryo UI"/>
        <family val="0"/>
        <charset val="1"/>
      </rPr>
      <t xml:space="preserve">1</t>
    </r>
    <r>
      <rPr>
        <sz val="9"/>
        <color rgb="FF000000"/>
        <rFont val="WenQuanYi Zen Hei"/>
        <family val="2"/>
      </rPr>
      <t xml:space="preserve">位</t>
    </r>
  </si>
  <si>
    <r>
      <rPr>
        <sz val="9"/>
        <color rgb="FF000000"/>
        <rFont val="Meiryo UI"/>
        <family val="0"/>
        <charset val="1"/>
      </rPr>
      <t xml:space="preserve">2</t>
    </r>
    <r>
      <rPr>
        <sz val="9"/>
        <color rgb="FF000000"/>
        <rFont val="WenQuanYi Zen Hei"/>
        <family val="2"/>
      </rPr>
      <t xml:space="preserve">強の一角（約</t>
    </r>
    <r>
      <rPr>
        <sz val="9"/>
        <color rgb="FF000000"/>
        <rFont val="Meiryo UI"/>
        <family val="0"/>
        <charset val="1"/>
      </rPr>
      <t xml:space="preserve">3</t>
    </r>
    <r>
      <rPr>
        <sz val="9"/>
        <color rgb="FF000000"/>
        <rFont val="WenQuanYi Zen Hei"/>
        <family val="2"/>
      </rPr>
      <t xml:space="preserve">割とする調査）。販売網に定評</t>
    </r>
  </si>
  <si>
    <r>
      <rPr>
        <sz val="9"/>
        <color rgb="FF000000"/>
        <rFont val="Meiryo UI"/>
        <family val="0"/>
        <charset val="1"/>
      </rPr>
      <t xml:space="preserve">4</t>
    </r>
    <r>
      <rPr>
        <sz val="9"/>
        <color rgb="FF000000"/>
        <rFont val="WenQuanYi Zen Hei"/>
        <family val="2"/>
      </rPr>
      <t xml:space="preserve">位圏（約</t>
    </r>
    <r>
      <rPr>
        <sz val="9"/>
        <color rgb="FF000000"/>
        <rFont val="Meiryo UI"/>
        <family val="0"/>
        <charset val="1"/>
      </rPr>
      <t xml:space="preserve">8%</t>
    </r>
    <r>
      <rPr>
        <sz val="9"/>
        <color rgb="FF000000"/>
        <rFont val="WenQuanYi Zen Hei"/>
        <family val="2"/>
      </rPr>
      <t xml:space="preserve">）。コンビニ複合機は国内</t>
    </r>
    <r>
      <rPr>
        <sz val="9"/>
        <color rgb="FF000000"/>
        <rFont val="Meiryo UI"/>
        <family val="0"/>
        <charset val="1"/>
      </rPr>
      <t xml:space="preserve">1</t>
    </r>
    <r>
      <rPr>
        <sz val="9"/>
        <color rgb="FF000000"/>
        <rFont val="WenQuanYi Zen Hei"/>
        <family val="2"/>
      </rPr>
      <t xml:space="preserve">位</t>
    </r>
  </si>
  <si>
    <r>
      <rPr>
        <sz val="9"/>
        <color rgb="FF000000"/>
        <rFont val="Meiryo UI"/>
        <family val="0"/>
        <charset val="1"/>
      </rPr>
      <t xml:space="preserve">5</t>
    </r>
    <r>
      <rPr>
        <sz val="9"/>
        <color rgb="FF000000"/>
        <rFont val="WenQuanYi Zen Hei"/>
        <family val="2"/>
      </rPr>
      <t xml:space="preserve">位圏。国内より欧米市場に強い</t>
    </r>
  </si>
  <si>
    <r>
      <rPr>
        <b val="true"/>
        <sz val="9.5"/>
        <color rgb="FF000000"/>
        <rFont val="WenQuanYi Zen Hei"/>
        <family val="2"/>
      </rPr>
      <t xml:space="preserve">現行主力</t>
    </r>
    <r>
      <rPr>
        <b val="true"/>
        <sz val="9.5"/>
        <color rgb="FF000000"/>
        <rFont val="Meiryo UI"/>
        <family val="0"/>
        <charset val="1"/>
      </rPr>
      <t xml:space="preserve">A3</t>
    </r>
    <r>
      <rPr>
        <b val="true"/>
        <sz val="9.5"/>
        <color rgb="FF000000"/>
        <rFont val="WenQuanYi Zen Hei"/>
        <family val="2"/>
      </rPr>
      <t xml:space="preserve">カラーシリーズ</t>
    </r>
  </si>
  <si>
    <r>
      <rPr>
        <sz val="9"/>
        <color rgb="FF000000"/>
        <rFont val="Meiryo UI"/>
        <family val="0"/>
        <charset val="1"/>
      </rPr>
      <t xml:space="preserve">Apeos C7071</t>
    </r>
    <r>
      <rPr>
        <sz val="9"/>
        <color rgb="FF000000"/>
        <rFont val="WenQuanYi Zen Hei"/>
        <family val="2"/>
      </rPr>
      <t xml:space="preserve">シリーズ（第</t>
    </r>
    <r>
      <rPr>
        <sz val="9"/>
        <color rgb="FF000000"/>
        <rFont val="Meiryo UI"/>
        <family val="0"/>
        <charset val="1"/>
      </rPr>
      <t xml:space="preserve">2</t>
    </r>
    <r>
      <rPr>
        <sz val="9"/>
        <color rgb="FF000000"/>
        <rFont val="WenQuanYi Zen Hei"/>
        <family val="2"/>
      </rPr>
      <t xml:space="preserve">世代</t>
    </r>
    <r>
      <rPr>
        <sz val="9"/>
        <color rgb="FF000000"/>
        <rFont val="Meiryo UI"/>
        <family val="0"/>
        <charset val="1"/>
      </rPr>
      <t xml:space="preserve">6</t>
    </r>
    <r>
      <rPr>
        <sz val="9"/>
        <color rgb="FF000000"/>
        <rFont val="WenQuanYi Zen Hei"/>
        <family val="2"/>
      </rPr>
      <t xml:space="preserve">機種）＋</t>
    </r>
    <r>
      <rPr>
        <sz val="9"/>
        <color rgb="FF000000"/>
        <rFont val="Meiryo UI"/>
        <family val="0"/>
        <charset val="1"/>
      </rPr>
      <t xml:space="preserve">C3067</t>
    </r>
    <r>
      <rPr>
        <sz val="9"/>
        <color rgb="FF000000"/>
        <rFont val="WenQuanYi Zen Hei"/>
        <family val="2"/>
      </rPr>
      <t xml:space="preserve">／</t>
    </r>
    <r>
      <rPr>
        <sz val="9"/>
        <color rgb="FF000000"/>
        <rFont val="Meiryo UI"/>
        <family val="0"/>
        <charset val="1"/>
      </rPr>
      <t xml:space="preserve">C3061</t>
    </r>
    <r>
      <rPr>
        <sz val="9"/>
        <color rgb="FF000000"/>
        <rFont val="WenQuanYi Zen Hei"/>
        <family val="2"/>
      </rPr>
      <t xml:space="preserve">シリーズ</t>
    </r>
  </si>
  <si>
    <r>
      <rPr>
        <sz val="9"/>
        <color rgb="FF000000"/>
        <rFont val="Meiryo UI"/>
        <family val="0"/>
        <charset val="1"/>
      </rPr>
      <t xml:space="preserve">imageFORCE C5100F</t>
    </r>
    <r>
      <rPr>
        <sz val="9"/>
        <color rgb="FF000000"/>
        <rFont val="WenQuanYi Zen Hei"/>
        <family val="2"/>
      </rPr>
      <t xml:space="preserve">／</t>
    </r>
    <r>
      <rPr>
        <sz val="9"/>
        <color rgb="FF000000"/>
        <rFont val="Meiryo UI"/>
        <family val="0"/>
        <charset val="1"/>
      </rPr>
      <t xml:space="preserve">C3100F</t>
    </r>
    <r>
      <rPr>
        <sz val="9"/>
        <color rgb="FF000000"/>
        <rFont val="WenQuanYi Zen Hei"/>
        <family val="2"/>
      </rPr>
      <t xml:space="preserve">シリーズ等（</t>
    </r>
    <r>
      <rPr>
        <sz val="9"/>
        <color rgb="FF000000"/>
        <rFont val="Meiryo UI"/>
        <family val="0"/>
        <charset val="1"/>
      </rPr>
      <t xml:space="preserve">iR-ADV DX</t>
    </r>
    <r>
      <rPr>
        <sz val="9"/>
        <color rgb="FF000000"/>
        <rFont val="WenQuanYi Zen Hei"/>
        <family val="2"/>
      </rPr>
      <t xml:space="preserve">と併売）</t>
    </r>
  </si>
  <si>
    <r>
      <rPr>
        <sz val="9"/>
        <color rgb="FF000000"/>
        <rFont val="Meiryo UI"/>
        <family val="0"/>
        <charset val="1"/>
      </rPr>
      <t xml:space="preserve">IM C6011</t>
    </r>
    <r>
      <rPr>
        <sz val="9"/>
        <color rgb="FF000000"/>
        <rFont val="WenQuanYi Zen Hei"/>
        <family val="2"/>
      </rPr>
      <t xml:space="preserve">シリーズ（</t>
    </r>
    <r>
      <rPr>
        <sz val="9"/>
        <color rgb="FF000000"/>
        <rFont val="Meiryo UI"/>
        <family val="0"/>
        <charset val="1"/>
      </rPr>
      <t xml:space="preserve">7</t>
    </r>
    <r>
      <rPr>
        <sz val="9"/>
        <color rgb="FF000000"/>
        <rFont val="WenQuanYi Zen Hei"/>
        <family val="2"/>
      </rPr>
      <t xml:space="preserve">機種</t>
    </r>
    <r>
      <rPr>
        <sz val="9"/>
        <color rgb="FF000000"/>
        <rFont val="Meiryo UI"/>
        <family val="0"/>
        <charset val="1"/>
      </rPr>
      <t xml:space="preserve">14</t>
    </r>
    <r>
      <rPr>
        <sz val="9"/>
        <color rgb="FF000000"/>
        <rFont val="WenQuanYi Zen Hei"/>
        <family val="2"/>
      </rPr>
      <t xml:space="preserve">モデル）</t>
    </r>
  </si>
  <si>
    <r>
      <rPr>
        <sz val="9"/>
        <color rgb="FF000000"/>
        <rFont val="WenQuanYi Zen Hei"/>
        <family val="2"/>
      </rPr>
      <t xml:space="preserve">新</t>
    </r>
    <r>
      <rPr>
        <sz val="9"/>
        <color rgb="FF000000"/>
        <rFont val="Meiryo UI"/>
        <family val="0"/>
        <charset val="1"/>
      </rPr>
      <t xml:space="preserve">BP</t>
    </r>
    <r>
      <rPr>
        <sz val="9"/>
        <color rgb="FF000000"/>
        <rFont val="WenQuanYi Zen Hei"/>
        <family val="2"/>
      </rPr>
      <t xml:space="preserve">シリーズ（</t>
    </r>
    <r>
      <rPr>
        <sz val="9"/>
        <color rgb="FF000000"/>
        <rFont val="Meiryo UI"/>
        <family val="0"/>
        <charset val="1"/>
      </rPr>
      <t xml:space="preserve">BP-71C</t>
    </r>
    <r>
      <rPr>
        <sz val="9"/>
        <color rgb="FF000000"/>
        <rFont val="WenQuanYi Zen Hei"/>
        <family val="2"/>
      </rPr>
      <t xml:space="preserve">／</t>
    </r>
    <r>
      <rPr>
        <sz val="9"/>
        <color rgb="FF000000"/>
        <rFont val="Meiryo UI"/>
        <family val="0"/>
        <charset val="1"/>
      </rPr>
      <t xml:space="preserve">61C</t>
    </r>
    <r>
      <rPr>
        <sz val="9"/>
        <color rgb="FF000000"/>
        <rFont val="WenQuanYi Zen Hei"/>
        <family val="2"/>
      </rPr>
      <t xml:space="preserve">／</t>
    </r>
    <r>
      <rPr>
        <sz val="9"/>
        <color rgb="FF000000"/>
        <rFont val="Meiryo UI"/>
        <family val="0"/>
        <charset val="1"/>
      </rPr>
      <t xml:space="preserve">51C</t>
    </r>
    <r>
      <rPr>
        <sz val="9"/>
        <color rgb="FF000000"/>
        <rFont val="WenQuanYi Zen Hei"/>
        <family val="2"/>
      </rPr>
      <t xml:space="preserve">／</t>
    </r>
    <r>
      <rPr>
        <sz val="9"/>
        <color rgb="FF000000"/>
        <rFont val="Meiryo UI"/>
        <family val="0"/>
        <charset val="1"/>
      </rPr>
      <t xml:space="preserve">41C</t>
    </r>
    <r>
      <rPr>
        <sz val="9"/>
        <color rgb="FF000000"/>
        <rFont val="WenQuanYi Zen Hei"/>
        <family val="2"/>
      </rPr>
      <t xml:space="preserve">、カラー</t>
    </r>
    <r>
      <rPr>
        <sz val="9"/>
        <color rgb="FF000000"/>
        <rFont val="Meiryo UI"/>
        <family val="0"/>
        <charset val="1"/>
      </rPr>
      <t xml:space="preserve">13</t>
    </r>
    <r>
      <rPr>
        <sz val="9"/>
        <color rgb="FF000000"/>
        <rFont val="WenQuanYi Zen Hei"/>
        <family val="2"/>
      </rPr>
      <t xml:space="preserve">機種）</t>
    </r>
  </si>
  <si>
    <r>
      <rPr>
        <sz val="9"/>
        <color rgb="FF000000"/>
        <rFont val="Meiryo UI"/>
        <family val="0"/>
        <charset val="1"/>
      </rPr>
      <t xml:space="preserve">bizhub 1i</t>
    </r>
    <r>
      <rPr>
        <sz val="9"/>
        <color rgb="FF000000"/>
        <rFont val="WenQuanYi Zen Hei"/>
        <family val="2"/>
      </rPr>
      <t xml:space="preserve">シリーズ（カラー</t>
    </r>
    <r>
      <rPr>
        <sz val="9"/>
        <color rgb="FF000000"/>
        <rFont val="Meiryo UI"/>
        <family val="0"/>
        <charset val="1"/>
      </rPr>
      <t xml:space="preserve">9</t>
    </r>
    <r>
      <rPr>
        <sz val="9"/>
        <color rgb="FF000000"/>
        <rFont val="WenQuanYi Zen Hei"/>
        <family val="2"/>
      </rPr>
      <t xml:space="preserve">機種）</t>
    </r>
  </si>
  <si>
    <t xml:space="preserve">世代交代時期</t>
  </si>
  <si>
    <r>
      <rPr>
        <sz val="9"/>
        <color rgb="FF000000"/>
        <rFont val="Meiryo UI"/>
        <family val="0"/>
        <charset val="1"/>
      </rPr>
      <t xml:space="preserve">2024</t>
    </r>
    <r>
      <rPr>
        <sz val="9"/>
        <color rgb="FF000000"/>
        <rFont val="WenQuanYi Zen Hei"/>
        <family val="2"/>
      </rPr>
      <t xml:space="preserve">年</t>
    </r>
    <r>
      <rPr>
        <sz val="9"/>
        <color rgb="FF000000"/>
        <rFont val="Meiryo UI"/>
        <family val="0"/>
        <charset val="1"/>
      </rPr>
      <t xml:space="preserve">10</t>
    </r>
    <r>
      <rPr>
        <sz val="9"/>
        <color rgb="FF000000"/>
        <rFont val="WenQuanYi Zen Hei"/>
        <family val="2"/>
      </rPr>
      <t xml:space="preserve">月</t>
    </r>
  </si>
  <si>
    <r>
      <rPr>
        <sz val="9"/>
        <color rgb="FF000000"/>
        <rFont val="Meiryo UI"/>
        <family val="0"/>
        <charset val="1"/>
      </rPr>
      <t xml:space="preserve">2024</t>
    </r>
    <r>
      <rPr>
        <sz val="9"/>
        <color rgb="FF000000"/>
        <rFont val="WenQuanYi Zen Hei"/>
        <family val="2"/>
      </rPr>
      <t xml:space="preserve">年</t>
    </r>
    <r>
      <rPr>
        <sz val="9"/>
        <color rgb="FF000000"/>
        <rFont val="Meiryo UI"/>
        <family val="0"/>
        <charset val="1"/>
      </rPr>
      <t xml:space="preserve">11</t>
    </r>
    <r>
      <rPr>
        <sz val="9"/>
        <color rgb="FF000000"/>
        <rFont val="WenQuanYi Zen Hei"/>
        <family val="2"/>
      </rPr>
      <t xml:space="preserve">月〜</t>
    </r>
    <r>
      <rPr>
        <sz val="9"/>
        <color rgb="FF000000"/>
        <rFont val="Meiryo UI"/>
        <family val="0"/>
        <charset val="1"/>
      </rPr>
      <t xml:space="preserve">2026</t>
    </r>
    <r>
      <rPr>
        <sz val="9"/>
        <color rgb="FF000000"/>
        <rFont val="WenQuanYi Zen Hei"/>
        <family val="2"/>
      </rPr>
      <t xml:space="preserve">年</t>
    </r>
    <r>
      <rPr>
        <sz val="9"/>
        <color rgb="FF000000"/>
        <rFont val="Meiryo UI"/>
        <family val="0"/>
        <charset val="1"/>
      </rPr>
      <t xml:space="preserve">8</t>
    </r>
    <r>
      <rPr>
        <sz val="9"/>
        <color rgb="FF000000"/>
        <rFont val="WenQuanYi Zen Hei"/>
        <family val="2"/>
      </rPr>
      <t xml:space="preserve">月（順次）</t>
    </r>
  </si>
  <si>
    <r>
      <rPr>
        <sz val="9"/>
        <color rgb="FF000000"/>
        <rFont val="Meiryo UI"/>
        <family val="0"/>
        <charset val="1"/>
      </rPr>
      <t xml:space="preserve">2026</t>
    </r>
    <r>
      <rPr>
        <sz val="9"/>
        <color rgb="FF000000"/>
        <rFont val="WenQuanYi Zen Hei"/>
        <family val="2"/>
      </rPr>
      <t xml:space="preserve">年</t>
    </r>
    <r>
      <rPr>
        <sz val="9"/>
        <color rgb="FF000000"/>
        <rFont val="Meiryo UI"/>
        <family val="0"/>
        <charset val="1"/>
      </rPr>
      <t xml:space="preserve">8</t>
    </r>
    <r>
      <rPr>
        <sz val="9"/>
        <color rgb="FF000000"/>
        <rFont val="WenQuanYi Zen Hei"/>
        <family val="2"/>
      </rPr>
      <t xml:space="preserve">月</t>
    </r>
    <r>
      <rPr>
        <sz val="9"/>
        <color rgb="FF000000"/>
        <rFont val="Meiryo UI"/>
        <family val="0"/>
        <charset val="1"/>
      </rPr>
      <t xml:space="preserve">24</t>
    </r>
    <r>
      <rPr>
        <sz val="9"/>
        <color rgb="FF000000"/>
        <rFont val="WenQuanYi Zen Hei"/>
        <family val="2"/>
      </rPr>
      <t xml:space="preserve">日（最新）</t>
    </r>
  </si>
  <si>
    <r>
      <rPr>
        <sz val="9"/>
        <color rgb="FF000000"/>
        <rFont val="Meiryo UI"/>
        <family val="0"/>
        <charset val="1"/>
      </rPr>
      <t xml:space="preserve">2025</t>
    </r>
    <r>
      <rPr>
        <sz val="9"/>
        <color rgb="FF000000"/>
        <rFont val="WenQuanYi Zen Hei"/>
        <family val="2"/>
      </rPr>
      <t xml:space="preserve">年</t>
    </r>
    <r>
      <rPr>
        <sz val="9"/>
        <color rgb="FF000000"/>
        <rFont val="Meiryo UI"/>
        <family val="0"/>
        <charset val="1"/>
      </rPr>
      <t xml:space="preserve">10</t>
    </r>
    <r>
      <rPr>
        <sz val="9"/>
        <color rgb="FF000000"/>
        <rFont val="WenQuanYi Zen Hei"/>
        <family val="2"/>
      </rPr>
      <t xml:space="preserve">月</t>
    </r>
    <r>
      <rPr>
        <sz val="9"/>
        <color rgb="FF000000"/>
        <rFont val="Meiryo UI"/>
        <family val="0"/>
        <charset val="1"/>
      </rPr>
      <t xml:space="preserve">23</t>
    </r>
    <r>
      <rPr>
        <sz val="9"/>
        <color rgb="FF000000"/>
        <rFont val="WenQuanYi Zen Hei"/>
        <family val="2"/>
      </rPr>
      <t xml:space="preserve">日</t>
    </r>
  </si>
  <si>
    <r>
      <rPr>
        <sz val="9"/>
        <color rgb="FF000000"/>
        <rFont val="Meiryo UI"/>
        <family val="0"/>
        <charset val="1"/>
      </rPr>
      <t xml:space="preserve">2024</t>
    </r>
    <r>
      <rPr>
        <sz val="9"/>
        <color rgb="FF000000"/>
        <rFont val="WenQuanYi Zen Hei"/>
        <family val="2"/>
      </rPr>
      <t xml:space="preserve">年</t>
    </r>
    <r>
      <rPr>
        <sz val="9"/>
        <color rgb="FF000000"/>
        <rFont val="Meiryo UI"/>
        <family val="0"/>
        <charset val="1"/>
      </rPr>
      <t xml:space="preserve">5</t>
    </r>
    <r>
      <rPr>
        <sz val="9"/>
        <color rgb="FF000000"/>
        <rFont val="WenQuanYi Zen Hei"/>
        <family val="2"/>
      </rPr>
      <t xml:space="preserve">月〜</t>
    </r>
  </si>
  <si>
    <r>
      <rPr>
        <b val="true"/>
        <sz val="9.5"/>
        <color rgb="FF000000"/>
        <rFont val="Meiryo UI"/>
        <family val="0"/>
        <charset val="1"/>
      </rPr>
      <t xml:space="preserve">A3</t>
    </r>
    <r>
      <rPr>
        <b val="true"/>
        <sz val="9.5"/>
        <color rgb="FF000000"/>
        <rFont val="WenQuanYi Zen Hei"/>
        <family val="2"/>
      </rPr>
      <t xml:space="preserve">カラー速度カバレッジ</t>
    </r>
  </si>
  <si>
    <r>
      <rPr>
        <sz val="9"/>
        <color rgb="FF000000"/>
        <rFont val="Meiryo UI"/>
        <family val="0"/>
        <charset val="1"/>
      </rPr>
      <t xml:space="preserve">20</t>
    </r>
    <r>
      <rPr>
        <sz val="9"/>
        <color rgb="FF000000"/>
        <rFont val="WenQuanYi Zen Hei"/>
        <family val="2"/>
      </rPr>
      <t xml:space="preserve">〜</t>
    </r>
    <r>
      <rPr>
        <sz val="9"/>
        <color rgb="FF000000"/>
        <rFont val="Meiryo UI"/>
        <family val="0"/>
        <charset val="1"/>
      </rPr>
      <t xml:space="preserve">70ppm</t>
    </r>
    <r>
      <rPr>
        <sz val="9"/>
        <color rgb="FF000000"/>
        <rFont val="WenQuanYi Zen Hei"/>
        <family val="2"/>
      </rPr>
      <t xml:space="preserve">（＋</t>
    </r>
    <r>
      <rPr>
        <sz val="9"/>
        <color rgb="FF000000"/>
        <rFont val="Meiryo UI"/>
        <family val="0"/>
        <charset val="1"/>
      </rPr>
      <t xml:space="preserve">80ppm</t>
    </r>
    <r>
      <rPr>
        <sz val="9"/>
        <color rgb="FF000000"/>
        <rFont val="WenQuanYi Zen Hei"/>
        <family val="2"/>
      </rPr>
      <t xml:space="preserve">級</t>
    </r>
    <r>
      <rPr>
        <sz val="9"/>
        <color rgb="FF000000"/>
        <rFont val="Meiryo UI"/>
        <family val="0"/>
        <charset val="1"/>
      </rPr>
      <t xml:space="preserve">C8180</t>
    </r>
    <r>
      <rPr>
        <sz val="9"/>
        <color rgb="FF000000"/>
        <rFont val="WenQuanYi Zen Hei"/>
        <family val="2"/>
      </rPr>
      <t xml:space="preserve">系）</t>
    </r>
  </si>
  <si>
    <r>
      <rPr>
        <sz val="9"/>
        <color rgb="FF000000"/>
        <rFont val="Meiryo UI"/>
        <family val="0"/>
        <charset val="1"/>
      </rPr>
      <t xml:space="preserve">22</t>
    </r>
    <r>
      <rPr>
        <sz val="9"/>
        <color rgb="FF000000"/>
        <rFont val="WenQuanYi Zen Hei"/>
        <family val="2"/>
      </rPr>
      <t xml:space="preserve">〜</t>
    </r>
    <r>
      <rPr>
        <sz val="9"/>
        <color rgb="FF000000"/>
        <rFont val="Meiryo UI"/>
        <family val="0"/>
        <charset val="1"/>
      </rPr>
      <t xml:space="preserve">70ppm</t>
    </r>
    <r>
      <rPr>
        <sz val="9"/>
        <color rgb="FF000000"/>
        <rFont val="WenQuanYi Zen Hei"/>
        <family val="2"/>
      </rPr>
      <t xml:space="preserve">（＋</t>
    </r>
    <r>
      <rPr>
        <sz val="9"/>
        <color rgb="FF000000"/>
        <rFont val="Meiryo UI"/>
        <family val="0"/>
        <charset val="1"/>
      </rPr>
      <t xml:space="preserve">C7165F Pro 65ppm</t>
    </r>
    <r>
      <rPr>
        <sz val="9"/>
        <color rgb="FF000000"/>
        <rFont val="WenQuanYi Zen Hei"/>
        <family val="2"/>
      </rPr>
      <t xml:space="preserve">・</t>
    </r>
    <r>
      <rPr>
        <sz val="9"/>
        <color rgb="FF000000"/>
        <rFont val="Meiryo UI"/>
        <family val="0"/>
        <charset val="1"/>
      </rPr>
      <t xml:space="preserve">SRA3</t>
    </r>
    <r>
      <rPr>
        <sz val="9"/>
        <color rgb="FF000000"/>
        <rFont val="WenQuanYi Zen Hei"/>
        <family val="2"/>
      </rPr>
      <t xml:space="preserve">対応）</t>
    </r>
  </si>
  <si>
    <r>
      <rPr>
        <sz val="9"/>
        <color rgb="FF000000"/>
        <rFont val="Meiryo UI"/>
        <family val="0"/>
        <charset val="1"/>
      </rPr>
      <t xml:space="preserve">20</t>
    </r>
    <r>
      <rPr>
        <sz val="9"/>
        <color rgb="FF000000"/>
        <rFont val="WenQuanYi Zen Hei"/>
        <family val="2"/>
      </rPr>
      <t xml:space="preserve">〜</t>
    </r>
    <r>
      <rPr>
        <sz val="9"/>
        <color rgb="FF000000"/>
        <rFont val="Meiryo UI"/>
        <family val="0"/>
        <charset val="1"/>
      </rPr>
      <t xml:space="preserve">80ppm</t>
    </r>
    <r>
      <rPr>
        <sz val="9"/>
        <color rgb="FF000000"/>
        <rFont val="WenQuanYi Zen Hei"/>
        <family val="2"/>
      </rPr>
      <t xml:space="preserve">（</t>
    </r>
    <r>
      <rPr>
        <sz val="9"/>
        <color rgb="FF000000"/>
        <rFont val="Meiryo UI"/>
        <family val="0"/>
        <charset val="1"/>
      </rPr>
      <t xml:space="preserve">IM C8010</t>
    </r>
    <r>
      <rPr>
        <sz val="9"/>
        <color rgb="FF000000"/>
        <rFont val="WenQuanYi Zen Hei"/>
        <family val="2"/>
      </rPr>
      <t xml:space="preserve">で</t>
    </r>
    <r>
      <rPr>
        <sz val="9"/>
        <color rgb="FF000000"/>
        <rFont val="Meiryo UI"/>
        <family val="0"/>
        <charset val="1"/>
      </rPr>
      <t xml:space="preserve">80ppm</t>
    </r>
    <r>
      <rPr>
        <sz val="9"/>
        <color rgb="FF000000"/>
        <rFont val="WenQuanYi Zen Hei"/>
        <family val="2"/>
      </rPr>
      <t xml:space="preserve">）</t>
    </r>
  </si>
  <si>
    <r>
      <rPr>
        <sz val="9"/>
        <color rgb="FF000000"/>
        <rFont val="Meiryo UI"/>
        <family val="0"/>
        <charset val="1"/>
      </rPr>
      <t xml:space="preserve">20</t>
    </r>
    <r>
      <rPr>
        <sz val="9"/>
        <color rgb="FF000000"/>
        <rFont val="WenQuanYi Zen Hei"/>
        <family val="2"/>
      </rPr>
      <t xml:space="preserve">〜</t>
    </r>
    <r>
      <rPr>
        <sz val="9"/>
        <color rgb="FF000000"/>
        <rFont val="Meiryo UI"/>
        <family val="0"/>
        <charset val="1"/>
      </rPr>
      <t xml:space="preserve">65ppm</t>
    </r>
  </si>
  <si>
    <r>
      <rPr>
        <sz val="9"/>
        <color rgb="FF000000"/>
        <rFont val="Meiryo UI"/>
        <family val="0"/>
        <charset val="1"/>
      </rPr>
      <t xml:space="preserve">25</t>
    </r>
    <r>
      <rPr>
        <sz val="9"/>
        <color rgb="FF000000"/>
        <rFont val="WenQuanYi Zen Hei"/>
        <family val="2"/>
      </rPr>
      <t xml:space="preserve">〜</t>
    </r>
    <r>
      <rPr>
        <sz val="9"/>
        <color rgb="FF000000"/>
        <rFont val="Meiryo UI"/>
        <family val="0"/>
        <charset val="1"/>
      </rPr>
      <t xml:space="preserve">75ppm</t>
    </r>
  </si>
  <si>
    <r>
      <rPr>
        <b val="true"/>
        <sz val="9.5"/>
        <color rgb="FF000000"/>
        <rFont val="Meiryo UI"/>
        <family val="0"/>
        <charset val="1"/>
      </rPr>
      <t xml:space="preserve">A3</t>
    </r>
    <r>
      <rPr>
        <b val="true"/>
        <sz val="9.5"/>
        <color rgb="FF000000"/>
        <rFont val="WenQuanYi Zen Hei"/>
        <family val="2"/>
      </rPr>
      <t xml:space="preserve">カラー標準価格帯（税別）</t>
    </r>
  </si>
  <si>
    <r>
      <rPr>
        <sz val="9"/>
        <color rgb="FF000000"/>
        <rFont val="WenQuanYi Zen Hei"/>
        <family val="2"/>
      </rPr>
      <t xml:space="preserve">約</t>
    </r>
    <r>
      <rPr>
        <sz val="9"/>
        <color rgb="FF000000"/>
        <rFont val="Meiryo UI"/>
        <family val="0"/>
        <charset val="1"/>
      </rPr>
      <t xml:space="preserve">207</t>
    </r>
    <r>
      <rPr>
        <sz val="9"/>
        <color rgb="FF000000"/>
        <rFont val="WenQuanYi Zen Hei"/>
        <family val="2"/>
      </rPr>
      <t xml:space="preserve">万〜</t>
    </r>
    <r>
      <rPr>
        <sz val="9"/>
        <color rgb="FF000000"/>
        <rFont val="Meiryo UI"/>
        <family val="0"/>
        <charset val="1"/>
      </rPr>
      <t xml:space="preserve">552</t>
    </r>
    <r>
      <rPr>
        <sz val="9"/>
        <color rgb="FF000000"/>
        <rFont val="WenQuanYi Zen Hei"/>
        <family val="2"/>
      </rPr>
      <t xml:space="preserve">万円</t>
    </r>
  </si>
  <si>
    <r>
      <rPr>
        <sz val="9"/>
        <color rgb="FF000000"/>
        <rFont val="WenQuanYi Zen Hei"/>
        <family val="2"/>
      </rPr>
      <t xml:space="preserve">約</t>
    </r>
    <r>
      <rPr>
        <sz val="9"/>
        <color rgb="FF000000"/>
        <rFont val="Meiryo UI"/>
        <family val="0"/>
        <charset val="1"/>
      </rPr>
      <t xml:space="preserve">177</t>
    </r>
    <r>
      <rPr>
        <sz val="9"/>
        <color rgb="FF000000"/>
        <rFont val="WenQuanYi Zen Hei"/>
        <family val="2"/>
      </rPr>
      <t xml:space="preserve">万〜</t>
    </r>
    <r>
      <rPr>
        <sz val="9"/>
        <color rgb="FF000000"/>
        <rFont val="Meiryo UI"/>
        <family val="0"/>
        <charset val="1"/>
      </rPr>
      <t xml:space="preserve">436</t>
    </r>
    <r>
      <rPr>
        <sz val="9"/>
        <color rgb="FF000000"/>
        <rFont val="WenQuanYi Zen Hei"/>
        <family val="2"/>
      </rPr>
      <t xml:space="preserve">万円（</t>
    </r>
    <r>
      <rPr>
        <sz val="9"/>
        <color rgb="FF000000"/>
        <rFont val="Meiryo UI"/>
        <family val="0"/>
        <charset val="1"/>
      </rPr>
      <t xml:space="preserve">imageFORCE</t>
    </r>
    <r>
      <rPr>
        <sz val="9"/>
        <color rgb="FF000000"/>
        <rFont val="WenQuanYi Zen Hei"/>
        <family val="2"/>
      </rPr>
      <t xml:space="preserve">・</t>
    </r>
    <r>
      <rPr>
        <sz val="9"/>
        <color rgb="FF000000"/>
        <rFont val="Meiryo UI"/>
        <family val="0"/>
        <charset val="1"/>
      </rPr>
      <t xml:space="preserve">DX</t>
    </r>
    <r>
      <rPr>
        <sz val="9"/>
        <color rgb="FF000000"/>
        <rFont val="WenQuanYi Zen Hei"/>
        <family val="2"/>
      </rPr>
      <t xml:space="preserve">計）</t>
    </r>
  </si>
  <si>
    <r>
      <rPr>
        <sz val="9"/>
        <color rgb="FF000000"/>
        <rFont val="WenQuanYi Zen Hei"/>
        <family val="2"/>
      </rPr>
      <t xml:space="preserve">約</t>
    </r>
    <r>
      <rPr>
        <sz val="9"/>
        <color rgb="FF000000"/>
        <rFont val="Meiryo UI"/>
        <family val="0"/>
        <charset val="1"/>
      </rPr>
      <t xml:space="preserve">119</t>
    </r>
    <r>
      <rPr>
        <sz val="9"/>
        <color rgb="FF000000"/>
        <rFont val="WenQuanYi Zen Hei"/>
        <family val="2"/>
      </rPr>
      <t xml:space="preserve">万〜</t>
    </r>
    <r>
      <rPr>
        <sz val="9"/>
        <color rgb="FF000000"/>
        <rFont val="Meiryo UI"/>
        <family val="0"/>
        <charset val="1"/>
      </rPr>
      <t xml:space="preserve">520</t>
    </r>
    <r>
      <rPr>
        <sz val="9"/>
        <color rgb="FF000000"/>
        <rFont val="WenQuanYi Zen Hei"/>
        <family val="2"/>
      </rPr>
      <t xml:space="preserve">万円</t>
    </r>
  </si>
  <si>
    <r>
      <rPr>
        <sz val="9"/>
        <color rgb="FF000000"/>
        <rFont val="WenQuanYi Zen Hei"/>
        <family val="2"/>
      </rPr>
      <t xml:space="preserve">約</t>
    </r>
    <r>
      <rPr>
        <sz val="9"/>
        <color rgb="FF000000"/>
        <rFont val="Meiryo UI"/>
        <family val="0"/>
        <charset val="1"/>
      </rPr>
      <t xml:space="preserve">120</t>
    </r>
    <r>
      <rPr>
        <sz val="9"/>
        <color rgb="FF000000"/>
        <rFont val="WenQuanYi Zen Hei"/>
        <family val="2"/>
      </rPr>
      <t xml:space="preserve">万〜</t>
    </r>
    <r>
      <rPr>
        <sz val="9"/>
        <color rgb="FF000000"/>
        <rFont val="Meiryo UI"/>
        <family val="0"/>
        <charset val="1"/>
      </rPr>
      <t xml:space="preserve">291</t>
    </r>
    <r>
      <rPr>
        <sz val="9"/>
        <color rgb="FF000000"/>
        <rFont val="WenQuanYi Zen Hei"/>
        <family val="2"/>
      </rPr>
      <t xml:space="preserve">万円</t>
    </r>
  </si>
  <si>
    <r>
      <rPr>
        <sz val="9"/>
        <color rgb="FF000000"/>
        <rFont val="WenQuanYi Zen Hei"/>
        <family val="2"/>
      </rPr>
      <t xml:space="preserve">約</t>
    </r>
    <r>
      <rPr>
        <sz val="9"/>
        <color rgb="FF000000"/>
        <rFont val="Meiryo UI"/>
        <family val="0"/>
        <charset val="1"/>
      </rPr>
      <t xml:space="preserve">127</t>
    </r>
    <r>
      <rPr>
        <sz val="9"/>
        <color rgb="FF000000"/>
        <rFont val="WenQuanYi Zen Hei"/>
        <family val="2"/>
      </rPr>
      <t xml:space="preserve">万〜</t>
    </r>
    <r>
      <rPr>
        <sz val="9"/>
        <color rgb="FF000000"/>
        <rFont val="Meiryo UI"/>
        <family val="0"/>
        <charset val="1"/>
      </rPr>
      <t xml:space="preserve">472</t>
    </r>
    <r>
      <rPr>
        <sz val="9"/>
        <color rgb="FF000000"/>
        <rFont val="WenQuanYi Zen Hei"/>
        <family val="2"/>
      </rPr>
      <t xml:space="preserve">万円※</t>
    </r>
  </si>
  <si>
    <r>
      <rPr>
        <b val="true"/>
        <sz val="9.5"/>
        <color rgb="FF000000"/>
        <rFont val="Meiryo UI"/>
        <family val="0"/>
        <charset val="1"/>
      </rPr>
      <t xml:space="preserve">A3</t>
    </r>
    <r>
      <rPr>
        <b val="true"/>
        <sz val="9.5"/>
        <color rgb="FF000000"/>
        <rFont val="WenQuanYi Zen Hei"/>
        <family val="2"/>
      </rPr>
      <t xml:space="preserve">モノクロ</t>
    </r>
  </si>
  <si>
    <r>
      <rPr>
        <sz val="9"/>
        <color rgb="FF000000"/>
        <rFont val="Meiryo UI"/>
        <family val="0"/>
        <charset val="1"/>
      </rPr>
      <t xml:space="preserve">Apeos 4570/3570</t>
    </r>
    <r>
      <rPr>
        <sz val="9"/>
        <color rgb="FF000000"/>
        <rFont val="WenQuanYi Zen Hei"/>
        <family val="2"/>
      </rPr>
      <t xml:space="preserve">、</t>
    </r>
    <r>
      <rPr>
        <sz val="9"/>
        <color rgb="FF000000"/>
        <rFont val="Meiryo UI"/>
        <family val="0"/>
        <charset val="1"/>
      </rPr>
      <t xml:space="preserve">3061</t>
    </r>
    <r>
      <rPr>
        <sz val="9"/>
        <color rgb="FF000000"/>
        <rFont val="WenQuanYi Zen Hei"/>
        <family val="2"/>
      </rPr>
      <t xml:space="preserve">シリーズ（</t>
    </r>
    <r>
      <rPr>
        <sz val="9"/>
        <color rgb="FF000000"/>
        <rFont val="Meiryo UI"/>
        <family val="0"/>
        <charset val="1"/>
      </rPr>
      <t xml:space="preserve">2025/10</t>
    </r>
    <r>
      <rPr>
        <sz val="9"/>
        <color rgb="FF000000"/>
        <rFont val="WenQuanYi Zen Hei"/>
        <family val="2"/>
      </rPr>
      <t xml:space="preserve">）</t>
    </r>
  </si>
  <si>
    <r>
      <rPr>
        <sz val="9"/>
        <color rgb="FF000000"/>
        <rFont val="Meiryo UI"/>
        <family val="0"/>
        <charset val="1"/>
      </rPr>
      <t xml:space="preserve">imageFORCE 8105</t>
    </r>
    <r>
      <rPr>
        <sz val="9"/>
        <color rgb="FF000000"/>
        <rFont val="WenQuanYi Zen Hei"/>
        <family val="2"/>
      </rPr>
      <t xml:space="preserve">（</t>
    </r>
    <r>
      <rPr>
        <sz val="9"/>
        <color rgb="FF000000"/>
        <rFont val="Meiryo UI"/>
        <family val="0"/>
        <charset val="1"/>
      </rPr>
      <t xml:space="preserve">105ppm</t>
    </r>
    <r>
      <rPr>
        <sz val="9"/>
        <color rgb="FF000000"/>
        <rFont val="WenQuanYi Zen Hei"/>
        <family val="2"/>
      </rPr>
      <t xml:space="preserve">）〜</t>
    </r>
    <r>
      <rPr>
        <sz val="9"/>
        <color rgb="FF000000"/>
        <rFont val="Meiryo UI"/>
        <family val="0"/>
        <charset val="1"/>
      </rPr>
      <t xml:space="preserve">4125F</t>
    </r>
    <r>
      <rPr>
        <sz val="9"/>
        <color rgb="FF000000"/>
        <rFont val="WenQuanYi Zen Hei"/>
        <family val="2"/>
      </rPr>
      <t xml:space="preserve">、</t>
    </r>
    <r>
      <rPr>
        <sz val="9"/>
        <color rgb="FF000000"/>
        <rFont val="Meiryo UI"/>
        <family val="0"/>
        <charset val="1"/>
      </rPr>
      <t xml:space="preserve">Satera MF7825F</t>
    </r>
  </si>
  <si>
    <r>
      <rPr>
        <sz val="9"/>
        <color rgb="FF000000"/>
        <rFont val="Meiryo UI"/>
        <family val="0"/>
        <charset val="1"/>
      </rPr>
      <t xml:space="preserve">IM 7010</t>
    </r>
    <r>
      <rPr>
        <sz val="9"/>
        <color rgb="FF000000"/>
        <rFont val="WenQuanYi Zen Hei"/>
        <family val="2"/>
      </rPr>
      <t xml:space="preserve">（</t>
    </r>
    <r>
      <rPr>
        <sz val="9"/>
        <color rgb="FF000000"/>
        <rFont val="Meiryo UI"/>
        <family val="0"/>
        <charset val="1"/>
      </rPr>
      <t xml:space="preserve">2026/5</t>
    </r>
    <r>
      <rPr>
        <sz val="9"/>
        <color rgb="FF000000"/>
        <rFont val="WenQuanYi Zen Hei"/>
        <family val="2"/>
      </rPr>
      <t xml:space="preserve">）〜</t>
    </r>
    <r>
      <rPr>
        <sz val="9"/>
        <color rgb="FF000000"/>
        <rFont val="Meiryo UI"/>
        <family val="0"/>
        <charset val="1"/>
      </rPr>
      <t xml:space="preserve">2510</t>
    </r>
    <r>
      <rPr>
        <sz val="9"/>
        <color rgb="FF000000"/>
        <rFont val="WenQuanYi Zen Hei"/>
        <family val="2"/>
      </rPr>
      <t xml:space="preserve">、</t>
    </r>
    <r>
      <rPr>
        <sz val="9"/>
        <color rgb="FF000000"/>
        <rFont val="Meiryo UI"/>
        <family val="0"/>
        <charset val="1"/>
      </rPr>
      <t xml:space="preserve">90ppm</t>
    </r>
    <r>
      <rPr>
        <sz val="9"/>
        <color rgb="FF000000"/>
        <rFont val="WenQuanYi Zen Hei"/>
        <family val="2"/>
      </rPr>
      <t xml:space="preserve">級も併売</t>
    </r>
  </si>
  <si>
    <r>
      <rPr>
        <sz val="9"/>
        <color rgb="FF000000"/>
        <rFont val="Meiryo UI"/>
        <family val="0"/>
        <charset val="1"/>
      </rPr>
      <t xml:space="preserve">BP-71M</t>
    </r>
    <r>
      <rPr>
        <sz val="9"/>
        <color rgb="FF000000"/>
        <rFont val="WenQuanYi Zen Hei"/>
        <family val="2"/>
      </rPr>
      <t xml:space="preserve">系、</t>
    </r>
    <r>
      <rPr>
        <sz val="9"/>
        <color rgb="FF000000"/>
        <rFont val="Meiryo UI"/>
        <family val="0"/>
        <charset val="1"/>
      </rPr>
      <t xml:space="preserve">BP-70M90</t>
    </r>
    <r>
      <rPr>
        <sz val="9"/>
        <color rgb="FF000000"/>
        <rFont val="WenQuanYi Zen Hei"/>
        <family val="2"/>
      </rPr>
      <t xml:space="preserve">（</t>
    </r>
    <r>
      <rPr>
        <sz val="9"/>
        <color rgb="FF000000"/>
        <rFont val="Meiryo UI"/>
        <family val="0"/>
        <charset val="1"/>
      </rPr>
      <t xml:space="preserve">90ppm</t>
    </r>
    <r>
      <rPr>
        <sz val="9"/>
        <color rgb="FF000000"/>
        <rFont val="WenQuanYi Zen Hei"/>
        <family val="2"/>
      </rPr>
      <t xml:space="preserve">）</t>
    </r>
  </si>
  <si>
    <r>
      <rPr>
        <sz val="9"/>
        <color rgb="FF000000"/>
        <rFont val="Meiryo UI"/>
        <family val="0"/>
        <charset val="1"/>
      </rPr>
      <t xml:space="preserve">bizhub 751i</t>
    </r>
    <r>
      <rPr>
        <sz val="9"/>
        <color rgb="FF000000"/>
        <rFont val="WenQuanYi Zen Hei"/>
        <family val="2"/>
      </rPr>
      <t xml:space="preserve">〜</t>
    </r>
    <r>
      <rPr>
        <sz val="9"/>
        <color rgb="FF000000"/>
        <rFont val="Meiryo UI"/>
        <family val="0"/>
        <charset val="1"/>
      </rPr>
      <t xml:space="preserve">301i</t>
    </r>
    <r>
      <rPr>
        <sz val="9"/>
        <color rgb="FF000000"/>
        <rFont val="WenQuanYi Zen Hei"/>
        <family val="2"/>
      </rPr>
      <t xml:space="preserve">（</t>
    </r>
    <r>
      <rPr>
        <sz val="9"/>
        <color rgb="FF000000"/>
        <rFont val="Meiryo UI"/>
        <family val="0"/>
        <charset val="1"/>
      </rPr>
      <t xml:space="preserve">6</t>
    </r>
    <r>
      <rPr>
        <sz val="9"/>
        <color rgb="FF000000"/>
        <rFont val="WenQuanYi Zen Hei"/>
        <family val="2"/>
      </rPr>
      <t xml:space="preserve">機種）</t>
    </r>
  </si>
  <si>
    <r>
      <rPr>
        <b val="true"/>
        <sz val="9.5"/>
        <color rgb="FF000000"/>
        <rFont val="Meiryo UI"/>
        <family val="0"/>
        <charset val="1"/>
      </rPr>
      <t xml:space="preserve">A4</t>
    </r>
    <r>
      <rPr>
        <b val="true"/>
        <sz val="9.5"/>
        <color rgb="FF000000"/>
        <rFont val="WenQuanYi Zen Hei"/>
        <family val="2"/>
      </rPr>
      <t xml:space="preserve">ライン</t>
    </r>
  </si>
  <si>
    <r>
      <rPr>
        <sz val="9"/>
        <color rgb="FF000000"/>
        <rFont val="Meiryo UI"/>
        <family val="0"/>
        <charset val="1"/>
      </rPr>
      <t xml:space="preserve">Apeos C4030/C3530</t>
    </r>
    <r>
      <rPr>
        <sz val="9"/>
        <color rgb="FF000000"/>
        <rFont val="WenQuanYi Zen Hei"/>
        <family val="2"/>
      </rPr>
      <t xml:space="preserve">、</t>
    </r>
    <r>
      <rPr>
        <sz val="9"/>
        <color rgb="FF000000"/>
        <rFont val="Meiryo UI"/>
        <family val="0"/>
        <charset val="1"/>
      </rPr>
      <t xml:space="preserve">5330</t>
    </r>
    <r>
      <rPr>
        <sz val="9"/>
        <color rgb="FF000000"/>
        <rFont val="WenQuanYi Zen Hei"/>
        <family val="2"/>
      </rPr>
      <t xml:space="preserve">ほか</t>
    </r>
  </si>
  <si>
    <r>
      <rPr>
        <sz val="9"/>
        <color rgb="FF000000"/>
        <rFont val="Meiryo UI"/>
        <family val="0"/>
        <charset val="1"/>
      </rPr>
      <t xml:space="preserve">imageFORCE C431F/C331F</t>
    </r>
    <r>
      <rPr>
        <sz val="9"/>
        <color rgb="FF000000"/>
        <rFont val="WenQuanYi Zen Hei"/>
        <family val="2"/>
      </rPr>
      <t xml:space="preserve">、</t>
    </r>
    <r>
      <rPr>
        <sz val="9"/>
        <color rgb="FF000000"/>
        <rFont val="Meiryo UI"/>
        <family val="0"/>
        <charset val="1"/>
      </rPr>
      <t xml:space="preserve">Satera</t>
    </r>
    <r>
      <rPr>
        <sz val="9"/>
        <color rgb="FF000000"/>
        <rFont val="WenQuanYi Zen Hei"/>
        <family val="2"/>
      </rPr>
      <t xml:space="preserve">多数</t>
    </r>
  </si>
  <si>
    <r>
      <rPr>
        <sz val="9"/>
        <color rgb="FF000000"/>
        <rFont val="Meiryo UI"/>
        <family val="0"/>
        <charset val="1"/>
      </rPr>
      <t xml:space="preserve">IM C431/C431F</t>
    </r>
    <r>
      <rPr>
        <sz val="9"/>
        <color rgb="FF000000"/>
        <rFont val="WenQuanYi Zen Hei"/>
        <family val="2"/>
      </rPr>
      <t xml:space="preserve">、</t>
    </r>
    <r>
      <rPr>
        <sz val="9"/>
        <color rgb="FF000000"/>
        <rFont val="Meiryo UI"/>
        <family val="0"/>
        <charset val="1"/>
      </rPr>
      <t xml:space="preserve">IM 460F/370F</t>
    </r>
  </si>
  <si>
    <r>
      <rPr>
        <sz val="9"/>
        <color rgb="FF000000"/>
        <rFont val="Meiryo UI"/>
        <family val="0"/>
        <charset val="1"/>
      </rPr>
      <t xml:space="preserve">BP-C533WD</t>
    </r>
    <r>
      <rPr>
        <sz val="9"/>
        <color rgb="FF000000"/>
        <rFont val="WenQuanYi Zen Hei"/>
        <family val="2"/>
      </rPr>
      <t xml:space="preserve">、</t>
    </r>
    <r>
      <rPr>
        <sz val="9"/>
        <color rgb="FF000000"/>
        <rFont val="Meiryo UI"/>
        <family val="0"/>
        <charset val="1"/>
      </rPr>
      <t xml:space="preserve">BP-C131WD</t>
    </r>
    <r>
      <rPr>
        <sz val="9"/>
        <color rgb="FF000000"/>
        <rFont val="WenQuanYi Zen Hei"/>
        <family val="2"/>
      </rPr>
      <t xml:space="preserve">（クラス最小）</t>
    </r>
  </si>
  <si>
    <r>
      <rPr>
        <sz val="9"/>
        <color rgb="FF000000"/>
        <rFont val="Meiryo UI"/>
        <family val="0"/>
        <charset val="1"/>
      </rPr>
      <t xml:space="preserve">bizhub C4051i</t>
    </r>
    <r>
      <rPr>
        <sz val="9"/>
        <color rgb="FF000000"/>
        <rFont val="WenQuanYi Zen Hei"/>
        <family val="2"/>
      </rPr>
      <t xml:space="preserve">、</t>
    </r>
    <r>
      <rPr>
        <sz val="9"/>
        <color rgb="FF000000"/>
        <rFont val="Meiryo UI"/>
        <family val="0"/>
        <charset val="1"/>
      </rPr>
      <t xml:space="preserve">4221i</t>
    </r>
    <r>
      <rPr>
        <sz val="9"/>
        <color rgb="FF000000"/>
        <rFont val="WenQuanYi Zen Hei"/>
        <family val="2"/>
      </rPr>
      <t xml:space="preserve">（</t>
    </r>
    <r>
      <rPr>
        <sz val="9"/>
        <color rgb="FF000000"/>
        <rFont val="Meiryo UI"/>
        <family val="0"/>
        <charset val="1"/>
      </rPr>
      <t xml:space="preserve">2025/11</t>
    </r>
    <r>
      <rPr>
        <sz val="9"/>
        <color rgb="FF000000"/>
        <rFont val="WenQuanYi Zen Hei"/>
        <family val="2"/>
      </rPr>
      <t xml:space="preserve">）ほか</t>
    </r>
  </si>
  <si>
    <r>
      <rPr>
        <b val="true"/>
        <sz val="9.5"/>
        <color rgb="FF000000"/>
        <rFont val="WenQuanYi Zen Hei"/>
        <family val="2"/>
      </rPr>
      <t xml:space="preserve">操作パネル／</t>
    </r>
    <r>
      <rPr>
        <b val="true"/>
        <sz val="9.5"/>
        <color rgb="FF000000"/>
        <rFont val="Meiryo UI"/>
        <family val="0"/>
        <charset val="1"/>
      </rPr>
      <t xml:space="preserve">UI</t>
    </r>
  </si>
  <si>
    <r>
      <rPr>
        <sz val="9"/>
        <color rgb="FF000000"/>
        <rFont val="Meiryo UI"/>
        <family val="0"/>
        <charset val="1"/>
      </rPr>
      <t xml:space="preserve">10.1</t>
    </r>
    <r>
      <rPr>
        <sz val="9"/>
        <color rgb="FF000000"/>
        <rFont val="WenQuanYi Zen Hei"/>
        <family val="2"/>
      </rPr>
      <t xml:space="preserve">インチ大型パネル、</t>
    </r>
    <r>
      <rPr>
        <sz val="9"/>
        <color rgb="FF000000"/>
        <rFont val="Meiryo UI"/>
        <family val="0"/>
        <charset val="1"/>
      </rPr>
      <t xml:space="preserve">A3/A4</t>
    </r>
    <r>
      <rPr>
        <sz val="9"/>
        <color rgb="FF000000"/>
        <rFont val="WenQuanYi Zen Hei"/>
        <family val="2"/>
      </rPr>
      <t xml:space="preserve">で操作共通化</t>
    </r>
  </si>
  <si>
    <r>
      <rPr>
        <sz val="9"/>
        <color rgb="FF000000"/>
        <rFont val="WenQuanYi Zen Hei"/>
        <family val="2"/>
      </rPr>
      <t xml:space="preserve">プリンティング製品全体で統一新</t>
    </r>
    <r>
      <rPr>
        <sz val="9"/>
        <color rgb="FF000000"/>
        <rFont val="Meiryo UI"/>
        <family val="0"/>
        <charset val="1"/>
      </rPr>
      <t xml:space="preserve">UI</t>
    </r>
    <r>
      <rPr>
        <sz val="9"/>
        <color rgb="FF000000"/>
        <rFont val="WenQuanYi Zen Hei"/>
        <family val="2"/>
      </rPr>
      <t xml:space="preserve">、アプリケーションライブラリ</t>
    </r>
  </si>
  <si>
    <r>
      <rPr>
        <sz val="9"/>
        <color rgb="FF000000"/>
        <rFont val="Meiryo UI"/>
        <family val="0"/>
        <charset val="1"/>
      </rPr>
      <t xml:space="preserve">MultiLink-Panel</t>
    </r>
    <r>
      <rPr>
        <sz val="9"/>
        <color rgb="FF000000"/>
        <rFont val="WenQuanYi Zen Hei"/>
        <family val="2"/>
      </rPr>
      <t xml:space="preserve">（</t>
    </r>
    <r>
      <rPr>
        <sz val="9"/>
        <color rgb="FF000000"/>
        <rFont val="Meiryo UI"/>
        <family val="0"/>
        <charset val="1"/>
      </rPr>
      <t xml:space="preserve">10.1</t>
    </r>
    <r>
      <rPr>
        <sz val="9"/>
        <color rgb="FF000000"/>
        <rFont val="WenQuanYi Zen Hei"/>
        <family val="2"/>
      </rPr>
      <t xml:space="preserve">型）、スマホライク操作</t>
    </r>
  </si>
  <si>
    <r>
      <rPr>
        <sz val="9"/>
        <color rgb="FF000000"/>
        <rFont val="WenQuanYi Zen Hei"/>
        <family val="2"/>
      </rPr>
      <t xml:space="preserve">大型カラータッチパネル、生成</t>
    </r>
    <r>
      <rPr>
        <sz val="9"/>
        <color rgb="FF000000"/>
        <rFont val="Meiryo UI"/>
        <family val="0"/>
        <charset val="1"/>
      </rPr>
      <t xml:space="preserve">AI</t>
    </r>
    <r>
      <rPr>
        <sz val="9"/>
        <color rgb="FF000000"/>
        <rFont val="WenQuanYi Zen Hei"/>
        <family val="2"/>
      </rPr>
      <t xml:space="preserve">ガイド連携</t>
    </r>
  </si>
  <si>
    <r>
      <rPr>
        <sz val="9"/>
        <color rgb="FF000000"/>
        <rFont val="Meiryo UI"/>
        <family val="0"/>
        <charset val="1"/>
      </rPr>
      <t xml:space="preserve">10.1</t>
    </r>
    <r>
      <rPr>
        <sz val="9"/>
        <color rgb="FF000000"/>
        <rFont val="WenQuanYi Zen Hei"/>
        <family val="2"/>
      </rPr>
      <t xml:space="preserve">インチ角度調整パネル、目的別</t>
    </r>
    <r>
      <rPr>
        <sz val="9"/>
        <color rgb="FF000000"/>
        <rFont val="Meiryo UI"/>
        <family val="0"/>
        <charset val="1"/>
      </rPr>
      <t xml:space="preserve">UI</t>
    </r>
  </si>
  <si>
    <t xml:space="preserve">クラウド連携</t>
  </si>
  <si>
    <r>
      <rPr>
        <sz val="9"/>
        <color rgb="FF000000"/>
        <rFont val="Meiryo UI"/>
        <family val="0"/>
        <charset val="1"/>
      </rPr>
      <t xml:space="preserve">Cloud Service Hub</t>
    </r>
    <r>
      <rPr>
        <sz val="9"/>
        <color rgb="FF000000"/>
        <rFont val="WenQuanYi Zen Hei"/>
        <family val="2"/>
      </rPr>
      <t xml:space="preserve">、</t>
    </r>
    <r>
      <rPr>
        <sz val="9"/>
        <color rgb="FF000000"/>
        <rFont val="Meiryo UI"/>
        <family val="0"/>
        <charset val="1"/>
      </rPr>
      <t xml:space="preserve">Apeos Cloud Connector</t>
    </r>
    <r>
      <rPr>
        <sz val="9"/>
        <color rgb="FF000000"/>
        <rFont val="WenQuanYi Zen Hei"/>
        <family val="2"/>
      </rPr>
      <t xml:space="preserve">（</t>
    </r>
    <r>
      <rPr>
        <sz val="9"/>
        <color rgb="FF000000"/>
        <rFont val="Meiryo UI"/>
        <family val="0"/>
        <charset val="1"/>
      </rPr>
      <t xml:space="preserve">kintone/Salesforce/Teams</t>
    </r>
    <r>
      <rPr>
        <sz val="9"/>
        <color rgb="FF000000"/>
        <rFont val="WenQuanYi Zen Hei"/>
        <family val="2"/>
      </rPr>
      <t xml:space="preserve">等）、</t>
    </r>
    <r>
      <rPr>
        <sz val="9"/>
        <color rgb="FF000000"/>
        <rFont val="Meiryo UI"/>
        <family val="0"/>
        <charset val="1"/>
      </rPr>
      <t xml:space="preserve">FUJIFILM IWpro</t>
    </r>
  </si>
  <si>
    <r>
      <rPr>
        <sz val="9"/>
        <color rgb="FF000000"/>
        <rFont val="Meiryo UI"/>
        <family val="0"/>
        <charset val="1"/>
      </rPr>
      <t xml:space="preserve">uniFLOW Online</t>
    </r>
    <r>
      <rPr>
        <sz val="9"/>
        <color rgb="FF000000"/>
        <rFont val="WenQuanYi Zen Hei"/>
        <family val="2"/>
      </rPr>
      <t xml:space="preserve">（</t>
    </r>
    <r>
      <rPr>
        <sz val="9"/>
        <color rgb="FF000000"/>
        <rFont val="Meiryo UI"/>
        <family val="0"/>
        <charset val="1"/>
      </rPr>
      <t xml:space="preserve">Box/OneDrive/SharePoint/Teams</t>
    </r>
    <r>
      <rPr>
        <sz val="9"/>
        <color rgb="FF000000"/>
        <rFont val="WenQuanYi Zen Hei"/>
        <family val="2"/>
      </rPr>
      <t xml:space="preserve">等、全暗号化）</t>
    </r>
  </si>
  <si>
    <r>
      <rPr>
        <sz val="9"/>
        <color rgb="FF000000"/>
        <rFont val="Meiryo UI"/>
        <family val="0"/>
        <charset val="1"/>
      </rPr>
      <t xml:space="preserve">RICOH Smart Integration</t>
    </r>
    <r>
      <rPr>
        <sz val="9"/>
        <color rgb="FF000000"/>
        <rFont val="WenQuanYi Zen Hei"/>
        <family val="2"/>
      </rPr>
      <t xml:space="preserve">、</t>
    </r>
    <r>
      <rPr>
        <sz val="9"/>
        <color rgb="FF000000"/>
        <rFont val="Meiryo UI"/>
        <family val="0"/>
        <charset val="1"/>
      </rPr>
      <t xml:space="preserve">kintone plus</t>
    </r>
    <r>
      <rPr>
        <sz val="9"/>
        <color rgb="FF000000"/>
        <rFont val="WenQuanYi Zen Hei"/>
        <family val="2"/>
      </rPr>
      <t xml:space="preserve">（サイボウズ協業）、</t>
    </r>
    <r>
      <rPr>
        <sz val="9"/>
        <color rgb="FF000000"/>
        <rFont val="Meiryo UI"/>
        <family val="0"/>
        <charset val="1"/>
      </rPr>
      <t xml:space="preserve">Scan Suite</t>
    </r>
  </si>
  <si>
    <r>
      <rPr>
        <sz val="9"/>
        <color rgb="FF000000"/>
        <rFont val="Meiryo UI"/>
        <family val="0"/>
        <charset val="1"/>
      </rPr>
      <t xml:space="preserve">COCORO OFFICE</t>
    </r>
    <r>
      <rPr>
        <sz val="9"/>
        <color rgb="FF000000"/>
        <rFont val="WenQuanYi Zen Hei"/>
        <family val="2"/>
      </rPr>
      <t xml:space="preserve">（電子帳簿保存・ファクス保存等）、</t>
    </r>
    <r>
      <rPr>
        <sz val="9"/>
        <color rgb="FF000000"/>
        <rFont val="Meiryo UI"/>
        <family val="0"/>
        <charset val="1"/>
      </rPr>
      <t xml:space="preserve">Microsoft Entra ID</t>
    </r>
    <r>
      <rPr>
        <sz val="9"/>
        <color rgb="FF000000"/>
        <rFont val="WenQuanYi Zen Hei"/>
        <family val="2"/>
      </rPr>
      <t xml:space="preserve">対応</t>
    </r>
    <r>
      <rPr>
        <sz val="9"/>
        <color rgb="FF000000"/>
        <rFont val="Meiryo UI"/>
        <family val="0"/>
        <charset val="1"/>
      </rPr>
      <t xml:space="preserve">SSO</t>
    </r>
  </si>
  <si>
    <r>
      <rPr>
        <sz val="9"/>
        <color rgb="FF000000"/>
        <rFont val="Meiryo UI"/>
        <family val="0"/>
        <charset val="1"/>
      </rPr>
      <t xml:space="preserve">bizhub essentials</t>
    </r>
    <r>
      <rPr>
        <sz val="9"/>
        <color rgb="FF000000"/>
        <rFont val="WenQuanYi Zen Hei"/>
        <family val="2"/>
      </rPr>
      <t xml:space="preserve">（クラウドストレージ直接連携）</t>
    </r>
  </si>
  <si>
    <r>
      <rPr>
        <b val="true"/>
        <sz val="9.5"/>
        <color rgb="FF000000"/>
        <rFont val="Meiryo UI"/>
        <family val="0"/>
        <charset val="1"/>
      </rPr>
      <t xml:space="preserve">AI</t>
    </r>
    <r>
      <rPr>
        <b val="true"/>
        <sz val="9.5"/>
        <color rgb="FF000000"/>
        <rFont val="WenQuanYi Zen Hei"/>
        <family val="2"/>
      </rPr>
      <t xml:space="preserve">機能</t>
    </r>
  </si>
  <si>
    <r>
      <rPr>
        <sz val="9"/>
        <color rgb="FF000000"/>
        <rFont val="Meiryo UI"/>
        <family val="0"/>
        <charset val="1"/>
      </rPr>
      <t xml:space="preserve">AI</t>
    </r>
    <r>
      <rPr>
        <sz val="9"/>
        <color rgb="FF000000"/>
        <rFont val="WenQuanYi Zen Hei"/>
        <family val="2"/>
      </rPr>
      <t xml:space="preserve">保守支援プラットフォーム（</t>
    </r>
    <r>
      <rPr>
        <sz val="9"/>
        <color rgb="FF000000"/>
        <rFont val="Meiryo UI"/>
        <family val="0"/>
        <charset val="1"/>
      </rPr>
      <t xml:space="preserve">2026/10</t>
    </r>
    <r>
      <rPr>
        <sz val="9"/>
        <color rgb="FF000000"/>
        <rFont val="WenQuanYi Zen Hei"/>
        <family val="2"/>
      </rPr>
      <t xml:space="preserve">国内導入、部品推奨正答率約</t>
    </r>
    <r>
      <rPr>
        <sz val="9"/>
        <color rgb="FF000000"/>
        <rFont val="Meiryo UI"/>
        <family val="0"/>
        <charset val="1"/>
      </rPr>
      <t xml:space="preserve">8</t>
    </r>
    <r>
      <rPr>
        <sz val="9"/>
        <color rgb="FF000000"/>
        <rFont val="WenQuanYi Zen Hei"/>
        <family val="2"/>
      </rPr>
      <t xml:space="preserve">割）</t>
    </r>
  </si>
  <si>
    <r>
      <rPr>
        <sz val="9"/>
        <color rgb="FF000000"/>
        <rFont val="WenQuanYi Zen Hei"/>
        <family val="2"/>
      </rPr>
      <t xml:space="preserve">機械学習</t>
    </r>
    <r>
      <rPr>
        <sz val="9"/>
        <color rgb="FF000000"/>
        <rFont val="Meiryo UI"/>
        <family val="0"/>
        <charset val="1"/>
      </rPr>
      <t xml:space="preserve">AI</t>
    </r>
    <r>
      <rPr>
        <sz val="9"/>
        <color rgb="FF000000"/>
        <rFont val="WenQuanYi Zen Hei"/>
        <family val="2"/>
      </rPr>
      <t xml:space="preserve">が最適セキュリティ設定を自動推奨</t>
    </r>
  </si>
  <si>
    <r>
      <rPr>
        <sz val="9"/>
        <color rgb="FF000000"/>
        <rFont val="Meiryo UI"/>
        <family val="0"/>
        <charset val="1"/>
      </rPr>
      <t xml:space="preserve">AI</t>
    </r>
    <r>
      <rPr>
        <sz val="9"/>
        <color rgb="FF000000"/>
        <rFont val="WenQuanYi Zen Hei"/>
        <family val="2"/>
      </rPr>
      <t xml:space="preserve">スキャン天地補正、</t>
    </r>
    <r>
      <rPr>
        <sz val="9"/>
        <color rgb="FF000000"/>
        <rFont val="Meiryo UI"/>
        <family val="0"/>
        <charset val="1"/>
      </rPr>
      <t xml:space="preserve">OCR</t>
    </r>
    <r>
      <rPr>
        <sz val="9"/>
        <color rgb="FF000000"/>
        <rFont val="WenQuanYi Zen Hei"/>
        <family val="2"/>
      </rPr>
      <t xml:space="preserve">標準搭載、</t>
    </r>
    <r>
      <rPr>
        <sz val="9"/>
        <color rgb="FF000000"/>
        <rFont val="Meiryo UI"/>
        <family val="0"/>
        <charset val="1"/>
      </rPr>
      <t xml:space="preserve">CE</t>
    </r>
    <r>
      <rPr>
        <sz val="9"/>
        <color rgb="FF000000"/>
        <rFont val="WenQuanYi Zen Hei"/>
        <family val="2"/>
      </rPr>
      <t xml:space="preserve">支援</t>
    </r>
    <r>
      <rPr>
        <sz val="9"/>
        <color rgb="FF000000"/>
        <rFont val="Meiryo UI"/>
        <family val="0"/>
        <charset val="1"/>
      </rPr>
      <t xml:space="preserve">AI</t>
    </r>
    <r>
      <rPr>
        <sz val="9"/>
        <color rgb="FF000000"/>
        <rFont val="WenQuanYi Zen Hei"/>
        <family val="2"/>
      </rPr>
      <t xml:space="preserve">ボット</t>
    </r>
  </si>
  <si>
    <r>
      <rPr>
        <sz val="9"/>
        <color rgb="FF000000"/>
        <rFont val="WenQuanYi Zen Hei"/>
        <family val="2"/>
      </rPr>
      <t xml:space="preserve">生成</t>
    </r>
    <r>
      <rPr>
        <sz val="9"/>
        <color rgb="FF000000"/>
        <rFont val="Meiryo UI"/>
        <family val="0"/>
        <charset val="1"/>
      </rPr>
      <t xml:space="preserve">AI</t>
    </r>
    <r>
      <rPr>
        <sz val="9"/>
        <color rgb="FF000000"/>
        <rFont val="WenQuanYi Zen Hei"/>
        <family val="2"/>
      </rPr>
      <t xml:space="preserve">「</t>
    </r>
    <r>
      <rPr>
        <sz val="9"/>
        <color rgb="FF000000"/>
        <rFont val="Meiryo UI"/>
        <family val="0"/>
        <charset val="1"/>
      </rPr>
      <t xml:space="preserve">eAssistant Guide</t>
    </r>
    <r>
      <rPr>
        <sz val="9"/>
        <color rgb="FF000000"/>
        <rFont val="WenQuanYi Zen Hei"/>
        <family val="2"/>
      </rPr>
      <t xml:space="preserve">」（対話型操作サポート）</t>
    </r>
  </si>
  <si>
    <r>
      <rPr>
        <sz val="9"/>
        <color rgb="FF000000"/>
        <rFont val="WenQuanYi Zen Hei"/>
        <family val="2"/>
      </rPr>
      <t xml:space="preserve">本体</t>
    </r>
    <r>
      <rPr>
        <sz val="9"/>
        <color rgb="FF000000"/>
        <rFont val="Meiryo UI"/>
        <family val="0"/>
        <charset val="1"/>
      </rPr>
      <t xml:space="preserve">AI</t>
    </r>
    <r>
      <rPr>
        <sz val="9"/>
        <color rgb="FF000000"/>
        <rFont val="WenQuanYi Zen Hei"/>
        <family val="2"/>
      </rPr>
      <t xml:space="preserve">機能の明示的訴求は現状確認できず</t>
    </r>
  </si>
  <si>
    <t xml:space="preserve">セキュリティ</t>
  </si>
  <si>
    <r>
      <rPr>
        <sz val="9"/>
        <color rgb="FF000000"/>
        <rFont val="Meiryo UI"/>
        <family val="0"/>
        <charset val="1"/>
      </rPr>
      <t xml:space="preserve">MPS Guardia</t>
    </r>
    <r>
      <rPr>
        <sz val="9"/>
        <color rgb="FF000000"/>
        <rFont val="WenQuanYi Zen Hei"/>
        <family val="2"/>
      </rPr>
      <t xml:space="preserve">等でサイバー対策強化</t>
    </r>
  </si>
  <si>
    <t xml:space="preserve">ゼロトラストポリシー設計</t>
  </si>
  <si>
    <r>
      <rPr>
        <sz val="9"/>
        <color rgb="FF000000"/>
        <rFont val="Meiryo UI"/>
        <family val="0"/>
        <charset val="1"/>
      </rPr>
      <t xml:space="preserve">TLS1.3</t>
    </r>
    <r>
      <rPr>
        <sz val="9"/>
        <color rgb="FF000000"/>
        <rFont val="WenQuanYi Zen Hei"/>
        <family val="2"/>
      </rPr>
      <t xml:space="preserve">・</t>
    </r>
    <r>
      <rPr>
        <sz val="9"/>
        <color rgb="FF000000"/>
        <rFont val="Meiryo UI"/>
        <family val="0"/>
        <charset val="1"/>
      </rPr>
      <t xml:space="preserve">TPM2.0</t>
    </r>
    <r>
      <rPr>
        <sz val="9"/>
        <color rgb="FF000000"/>
        <rFont val="WenQuanYi Zen Hei"/>
        <family val="2"/>
      </rPr>
      <t xml:space="preserve">・</t>
    </r>
    <r>
      <rPr>
        <sz val="9"/>
        <color rgb="FF000000"/>
        <rFont val="Meiryo UI"/>
        <family val="0"/>
        <charset val="1"/>
      </rPr>
      <t xml:space="preserve">WPA3</t>
    </r>
    <r>
      <rPr>
        <sz val="9"/>
        <color rgb="FF000000"/>
        <rFont val="WenQuanYi Zen Hei"/>
        <family val="2"/>
      </rPr>
      <t xml:space="preserve">・</t>
    </r>
    <r>
      <rPr>
        <sz val="9"/>
        <color rgb="FF000000"/>
        <rFont val="Meiryo UI"/>
        <family val="0"/>
        <charset val="1"/>
      </rPr>
      <t xml:space="preserve">ECDSA</t>
    </r>
    <r>
      <rPr>
        <sz val="9"/>
        <color rgb="FF000000"/>
        <rFont val="WenQuanYi Zen Hei"/>
        <family val="2"/>
      </rPr>
      <t xml:space="preserve">対応</t>
    </r>
  </si>
  <si>
    <r>
      <rPr>
        <sz val="9"/>
        <color rgb="FF000000"/>
        <rFont val="Meiryo UI"/>
        <family val="0"/>
        <charset val="1"/>
      </rPr>
      <t xml:space="preserve">UTM</t>
    </r>
    <r>
      <rPr>
        <sz val="9"/>
        <color rgb="FF000000"/>
        <rFont val="WenQuanYi Zen Hei"/>
        <family val="2"/>
      </rPr>
      <t xml:space="preserve">搭載サーバーオプション、</t>
    </r>
    <r>
      <rPr>
        <sz val="9"/>
        <color rgb="FF000000"/>
        <rFont val="Meiryo UI"/>
        <family val="0"/>
        <charset val="1"/>
      </rPr>
      <t xml:space="preserve">Bitdefender</t>
    </r>
    <r>
      <rPr>
        <sz val="9"/>
        <color rgb="FF000000"/>
        <rFont val="WenQuanYi Zen Hei"/>
        <family val="2"/>
      </rPr>
      <t xml:space="preserve">検知（オプション）、</t>
    </r>
    <r>
      <rPr>
        <sz val="9"/>
        <color rgb="FF000000"/>
        <rFont val="Meiryo UI"/>
        <family val="0"/>
        <charset val="1"/>
      </rPr>
      <t xml:space="preserve">BIOS</t>
    </r>
    <r>
      <rPr>
        <sz val="9"/>
        <color rgb="FF000000"/>
        <rFont val="WenQuanYi Zen Hei"/>
        <family val="2"/>
      </rPr>
      <t xml:space="preserve">起動時検証</t>
    </r>
  </si>
  <si>
    <r>
      <rPr>
        <sz val="9"/>
        <color rgb="FF000000"/>
        <rFont val="WenQuanYi Zen Hei"/>
        <family val="2"/>
      </rPr>
      <t xml:space="preserve">業界初の本体ウイルススキャン（</t>
    </r>
    <r>
      <rPr>
        <sz val="9"/>
        <color rgb="FF000000"/>
        <rFont val="Meiryo UI"/>
        <family val="0"/>
        <charset val="1"/>
      </rPr>
      <t xml:space="preserve">Bitdefender</t>
    </r>
    <r>
      <rPr>
        <sz val="9"/>
        <color rgb="FF000000"/>
        <rFont val="WenQuanYi Zen Hei"/>
        <family val="2"/>
      </rPr>
      <t xml:space="preserve">）標準搭載</t>
    </r>
  </si>
  <si>
    <t xml:space="preserve">保守・サービス網</t>
  </si>
  <si>
    <r>
      <rPr>
        <sz val="9"/>
        <color rgb="FF000000"/>
        <rFont val="WenQuanYi Zen Hei"/>
        <family val="2"/>
      </rPr>
      <t xml:space="preserve">全国約</t>
    </r>
    <r>
      <rPr>
        <sz val="9"/>
        <color rgb="FF000000"/>
        <rFont val="Meiryo UI"/>
        <family val="0"/>
        <charset val="1"/>
      </rPr>
      <t xml:space="preserve">300</t>
    </r>
    <r>
      <rPr>
        <sz val="9"/>
        <color rgb="FF000000"/>
        <rFont val="WenQuanYi Zen Hei"/>
        <family val="2"/>
      </rPr>
      <t xml:space="preserve">拠点、</t>
    </r>
    <r>
      <rPr>
        <sz val="9"/>
        <color rgb="FF000000"/>
        <rFont val="Meiryo UI"/>
        <family val="0"/>
        <charset val="1"/>
      </rPr>
      <t xml:space="preserve">EP-BB</t>
    </r>
    <r>
      <rPr>
        <sz val="9"/>
        <color rgb="FF000000"/>
        <rFont val="WenQuanYi Zen Hei"/>
        <family val="2"/>
      </rPr>
      <t xml:space="preserve">遠隔管理、予兆保全</t>
    </r>
  </si>
  <si>
    <r>
      <rPr>
        <sz val="9"/>
        <color rgb="FF000000"/>
        <rFont val="Meiryo UI"/>
        <family val="0"/>
        <charset val="1"/>
      </rPr>
      <t xml:space="preserve">NETEYE</t>
    </r>
    <r>
      <rPr>
        <sz val="9"/>
        <color rgb="FF000000"/>
        <rFont val="WenQuanYi Zen Hei"/>
        <family val="2"/>
      </rPr>
      <t xml:space="preserve">（故障予兆・消耗品自動配送）、全国保守網（拠点数非公表）</t>
    </r>
  </si>
  <si>
    <r>
      <rPr>
        <sz val="9"/>
        <color rgb="FF000000"/>
        <rFont val="Meiryo UI"/>
        <family val="0"/>
        <charset val="1"/>
      </rPr>
      <t xml:space="preserve">424</t>
    </r>
    <r>
      <rPr>
        <sz val="9"/>
        <color rgb="FF000000"/>
        <rFont val="WenQuanYi Zen Hei"/>
        <family val="2"/>
      </rPr>
      <t xml:space="preserve">サービスステーション・</t>
    </r>
    <r>
      <rPr>
        <sz val="9"/>
        <color rgb="FF000000"/>
        <rFont val="Meiryo UI"/>
        <family val="0"/>
        <charset val="1"/>
      </rPr>
      <t xml:space="preserve">CE</t>
    </r>
    <r>
      <rPr>
        <sz val="9"/>
        <color rgb="FF000000"/>
        <rFont val="WenQuanYi Zen Hei"/>
        <family val="2"/>
      </rPr>
      <t xml:space="preserve">約</t>
    </r>
    <r>
      <rPr>
        <sz val="9"/>
        <color rgb="FF000000"/>
        <rFont val="Meiryo UI"/>
        <family val="0"/>
        <charset val="1"/>
      </rPr>
      <t xml:space="preserve">4,400</t>
    </r>
    <r>
      <rPr>
        <sz val="9"/>
        <color rgb="FF000000"/>
        <rFont val="WenQuanYi Zen Hei"/>
        <family val="2"/>
      </rPr>
      <t xml:space="preserve">名、</t>
    </r>
    <r>
      <rPr>
        <sz val="9"/>
        <color rgb="FF000000"/>
        <rFont val="Meiryo UI"/>
        <family val="0"/>
        <charset val="1"/>
      </rPr>
      <t xml:space="preserve">AR/AI</t>
    </r>
    <r>
      <rPr>
        <sz val="9"/>
        <color rgb="FF000000"/>
        <rFont val="WenQuanYi Zen Hei"/>
        <family val="2"/>
      </rPr>
      <t xml:space="preserve">ボット活用</t>
    </r>
  </si>
  <si>
    <r>
      <rPr>
        <sz val="9"/>
        <color rgb="FF000000"/>
        <rFont val="WenQuanYi Zen Hei"/>
        <family val="2"/>
      </rPr>
      <t xml:space="preserve">シャープ</t>
    </r>
    <r>
      <rPr>
        <sz val="9"/>
        <color rgb="FF000000"/>
        <rFont val="Meiryo UI"/>
        <family val="0"/>
        <charset val="1"/>
      </rPr>
      <t xml:space="preserve">MJ </t>
    </r>
    <r>
      <rPr>
        <sz val="9"/>
        <color rgb="FF000000"/>
        <rFont val="WenQuanYi Zen Hei"/>
        <family val="2"/>
      </rPr>
      <t xml:space="preserve">全国</t>
    </r>
    <r>
      <rPr>
        <sz val="9"/>
        <color rgb="FF000000"/>
        <rFont val="Meiryo UI"/>
        <family val="0"/>
        <charset val="1"/>
      </rPr>
      <t xml:space="preserve">108</t>
    </r>
    <r>
      <rPr>
        <sz val="9"/>
        <color rgb="FF000000"/>
        <rFont val="WenQuanYi Zen Hei"/>
        <family val="2"/>
      </rPr>
      <t xml:space="preserve">拠点、コールセンター</t>
    </r>
    <r>
      <rPr>
        <sz val="9"/>
        <color rgb="FF000000"/>
        <rFont val="Meiryo UI"/>
        <family val="0"/>
        <charset val="1"/>
      </rPr>
      <t xml:space="preserve">365</t>
    </r>
    <r>
      <rPr>
        <sz val="9"/>
        <color rgb="FF000000"/>
        <rFont val="WenQuanYi Zen Hei"/>
        <family val="2"/>
      </rPr>
      <t xml:space="preserve">日</t>
    </r>
    <r>
      <rPr>
        <sz val="9"/>
        <color rgb="FF000000"/>
        <rFont val="Meiryo UI"/>
        <family val="0"/>
        <charset val="1"/>
      </rPr>
      <t xml:space="preserve">24</t>
    </r>
    <r>
      <rPr>
        <sz val="9"/>
        <color rgb="FF000000"/>
        <rFont val="WenQuanYi Zen Hei"/>
        <family val="2"/>
      </rPr>
      <t xml:space="preserve">時間</t>
    </r>
  </si>
  <si>
    <r>
      <rPr>
        <sz val="9"/>
        <color rgb="FF000000"/>
        <rFont val="Meiryo UI"/>
        <family val="0"/>
        <charset val="1"/>
      </rPr>
      <t xml:space="preserve">CS Remote Care</t>
    </r>
    <r>
      <rPr>
        <sz val="9"/>
        <color rgb="FF000000"/>
        <rFont val="WenQuanYi Zen Hei"/>
        <family val="2"/>
      </rPr>
      <t xml:space="preserve">遠隔監視（拠点数は上位</t>
    </r>
    <r>
      <rPr>
        <sz val="9"/>
        <color rgb="FF000000"/>
        <rFont val="Meiryo UI"/>
        <family val="0"/>
        <charset val="1"/>
      </rPr>
      <t xml:space="preserve">3</t>
    </r>
    <r>
      <rPr>
        <sz val="9"/>
        <color rgb="FF000000"/>
        <rFont val="WenQuanYi Zen Hei"/>
        <family val="2"/>
      </rPr>
      <t xml:space="preserve">社に劣るとの第三者評価）</t>
    </r>
  </si>
  <si>
    <t xml:space="preserve">環境対応・再生機</t>
  </si>
  <si>
    <r>
      <rPr>
        <sz val="9"/>
        <color rgb="FF000000"/>
        <rFont val="WenQuanYi Zen Hei"/>
        <family val="2"/>
      </rPr>
      <t xml:space="preserve">再生機</t>
    </r>
    <r>
      <rPr>
        <sz val="9"/>
        <color rgb="FF000000"/>
        <rFont val="Meiryo UI"/>
        <family val="0"/>
        <charset val="1"/>
      </rPr>
      <t xml:space="preserve">12</t>
    </r>
    <r>
      <rPr>
        <sz val="9"/>
        <color rgb="FF000000"/>
        <rFont val="WenQuanYi Zen Hei"/>
        <family val="2"/>
      </rPr>
      <t xml:space="preserve">機種（業界最多）、部品リユース率最大</t>
    </r>
    <r>
      <rPr>
        <sz val="9"/>
        <color rgb="FF000000"/>
        <rFont val="Meiryo UI"/>
        <family val="0"/>
        <charset val="1"/>
      </rPr>
      <t xml:space="preserve">84%</t>
    </r>
    <r>
      <rPr>
        <sz val="9"/>
        <color rgb="FF000000"/>
        <rFont val="WenQuanYi Zen Hei"/>
        <family val="2"/>
      </rPr>
      <t xml:space="preserve">、</t>
    </r>
    <r>
      <rPr>
        <sz val="9"/>
        <color rgb="FF000000"/>
        <rFont val="Meiryo UI"/>
        <family val="0"/>
        <charset val="1"/>
      </rPr>
      <t xml:space="preserve">CO2 53%</t>
    </r>
    <r>
      <rPr>
        <sz val="9"/>
        <color rgb="FF000000"/>
        <rFont val="WenQuanYi Zen Hei"/>
        <family val="2"/>
      </rPr>
      <t xml:space="preserve">減</t>
    </r>
  </si>
  <si>
    <r>
      <rPr>
        <sz val="9"/>
        <color rgb="FF000000"/>
        <rFont val="Meiryo UI"/>
        <family val="0"/>
        <charset val="1"/>
      </rPr>
      <t xml:space="preserve">Refreshed</t>
    </r>
    <r>
      <rPr>
        <sz val="9"/>
        <color rgb="FF000000"/>
        <rFont val="WenQuanYi Zen Hei"/>
        <family val="2"/>
      </rPr>
      <t xml:space="preserve">シリーズ：リユース率</t>
    </r>
    <r>
      <rPr>
        <sz val="9"/>
        <color rgb="FF000000"/>
        <rFont val="Meiryo UI"/>
        <family val="0"/>
        <charset val="1"/>
      </rPr>
      <t xml:space="preserve">90%</t>
    </r>
    <r>
      <rPr>
        <sz val="9"/>
        <color rgb="FF000000"/>
        <rFont val="WenQuanYi Zen Hei"/>
        <family val="2"/>
      </rPr>
      <t xml:space="preserve">超（業界最高水準）、ライフサイクル</t>
    </r>
    <r>
      <rPr>
        <sz val="9"/>
        <color rgb="FF000000"/>
        <rFont val="Meiryo UI"/>
        <family val="0"/>
        <charset val="1"/>
      </rPr>
      <t xml:space="preserve">CO2</t>
    </r>
    <r>
      <rPr>
        <sz val="9"/>
        <color rgb="FF000000"/>
        <rFont val="WenQuanYi Zen Hei"/>
        <family val="2"/>
      </rPr>
      <t xml:space="preserve">実質ゼロ</t>
    </r>
  </si>
  <si>
    <r>
      <rPr>
        <sz val="9"/>
        <color rgb="FF000000"/>
        <rFont val="Meiryo UI"/>
        <family val="0"/>
        <charset val="1"/>
      </rPr>
      <t xml:space="preserve">CE</t>
    </r>
    <r>
      <rPr>
        <sz val="9"/>
        <color rgb="FF000000"/>
        <rFont val="WenQuanYi Zen Hei"/>
        <family val="2"/>
      </rPr>
      <t xml:space="preserve">シリーズ：リユース率平均</t>
    </r>
    <r>
      <rPr>
        <sz val="9"/>
        <color rgb="FF000000"/>
        <rFont val="Meiryo UI"/>
        <family val="0"/>
        <charset val="1"/>
      </rPr>
      <t xml:space="preserve">86%</t>
    </r>
    <r>
      <rPr>
        <sz val="9"/>
        <color rgb="FF000000"/>
        <rFont val="WenQuanYi Zen Hei"/>
        <family val="2"/>
      </rPr>
      <t xml:space="preserve">、カーボンオフセット対応。新機は再生プラ約</t>
    </r>
    <r>
      <rPr>
        <sz val="9"/>
        <color rgb="FF000000"/>
        <rFont val="Meiryo UI"/>
        <family val="0"/>
        <charset val="1"/>
      </rPr>
      <t xml:space="preserve">50%</t>
    </r>
  </si>
  <si>
    <r>
      <rPr>
        <sz val="9"/>
        <color rgb="FF000000"/>
        <rFont val="WenQuanYi Zen Hei"/>
        <family val="2"/>
      </rPr>
      <t xml:space="preserve">新</t>
    </r>
    <r>
      <rPr>
        <sz val="9"/>
        <color rgb="FF000000"/>
        <rFont val="Meiryo UI"/>
        <family val="0"/>
        <charset val="1"/>
      </rPr>
      <t xml:space="preserve">BP</t>
    </r>
    <r>
      <rPr>
        <sz val="9"/>
        <color rgb="FF000000"/>
        <rFont val="WenQuanYi Zen Hei"/>
        <family val="2"/>
      </rPr>
      <t xml:space="preserve">シリーズ再生プラ約</t>
    </r>
    <r>
      <rPr>
        <sz val="9"/>
        <color rgb="FF000000"/>
        <rFont val="Meiryo UI"/>
        <family val="0"/>
        <charset val="1"/>
      </rPr>
      <t xml:space="preserve">50%</t>
    </r>
    <r>
      <rPr>
        <sz val="9"/>
        <color rgb="FF000000"/>
        <rFont val="WenQuanYi Zen Hei"/>
        <family val="2"/>
      </rPr>
      <t xml:space="preserve">、</t>
    </r>
    <r>
      <rPr>
        <sz val="9"/>
        <color rgb="FF000000"/>
        <rFont val="Meiryo UI"/>
        <family val="0"/>
        <charset val="1"/>
      </rPr>
      <t xml:space="preserve">BP-C131WD</t>
    </r>
    <r>
      <rPr>
        <sz val="9"/>
        <color rgb="FF000000"/>
        <rFont val="WenQuanYi Zen Hei"/>
        <family val="2"/>
      </rPr>
      <t xml:space="preserve">は</t>
    </r>
    <r>
      <rPr>
        <sz val="9"/>
        <color rgb="FF000000"/>
        <rFont val="Meiryo UI"/>
        <family val="0"/>
        <charset val="1"/>
      </rPr>
      <t xml:space="preserve">TEC</t>
    </r>
    <r>
      <rPr>
        <sz val="9"/>
        <color rgb="FF000000"/>
        <rFont val="WenQuanYi Zen Hei"/>
        <family val="2"/>
      </rPr>
      <t xml:space="preserve">値業界トップクラス</t>
    </r>
  </si>
  <si>
    <r>
      <rPr>
        <sz val="9"/>
        <color rgb="FF000000"/>
        <rFont val="Meiryo UI"/>
        <family val="0"/>
        <charset val="1"/>
      </rPr>
      <t xml:space="preserve">RM</t>
    </r>
    <r>
      <rPr>
        <sz val="9"/>
        <color rgb="FF000000"/>
        <rFont val="WenQuanYi Zen Hei"/>
        <family val="2"/>
      </rPr>
      <t xml:space="preserve">シリーズ再製造機（リユース率</t>
    </r>
    <r>
      <rPr>
        <sz val="9"/>
        <color rgb="FF000000"/>
        <rFont val="Meiryo UI"/>
        <family val="0"/>
        <charset val="1"/>
      </rPr>
      <t xml:space="preserve">80%</t>
    </r>
    <r>
      <rPr>
        <sz val="9"/>
        <color rgb="FF000000"/>
        <rFont val="WenQuanYi Zen Hei"/>
        <family val="2"/>
      </rPr>
      <t xml:space="preserve">以上）、再生材使用率約</t>
    </r>
    <r>
      <rPr>
        <sz val="9"/>
        <color rgb="FF000000"/>
        <rFont val="Meiryo UI"/>
        <family val="0"/>
        <charset val="1"/>
      </rPr>
      <t xml:space="preserve">88%</t>
    </r>
    <r>
      <rPr>
        <sz val="9"/>
        <color rgb="FF000000"/>
        <rFont val="WenQuanYi Zen Hei"/>
        <family val="2"/>
      </rPr>
      <t xml:space="preserve">（表面積比）</t>
    </r>
  </si>
  <si>
    <t xml:space="preserve">顧客評価・第三者評価</t>
  </si>
  <si>
    <r>
      <rPr>
        <sz val="9"/>
        <color rgb="FF000000"/>
        <rFont val="Meiryo UI"/>
        <family val="0"/>
        <charset val="1"/>
      </rPr>
      <t xml:space="preserve">J.D.</t>
    </r>
    <r>
      <rPr>
        <sz val="9"/>
        <color rgb="FF000000"/>
        <rFont val="WenQuanYi Zen Hei"/>
        <family val="2"/>
      </rPr>
      <t xml:space="preserve">パワー</t>
    </r>
    <r>
      <rPr>
        <sz val="9"/>
        <color rgb="FF000000"/>
        <rFont val="Meiryo UI"/>
        <family val="0"/>
        <charset val="1"/>
      </rPr>
      <t xml:space="preserve">3</t>
    </r>
    <r>
      <rPr>
        <sz val="9"/>
        <color rgb="FF000000"/>
        <rFont val="WenQuanYi Zen Hei"/>
        <family val="2"/>
      </rPr>
      <t xml:space="preserve">位（</t>
    </r>
    <r>
      <rPr>
        <sz val="9"/>
        <color rgb="FF000000"/>
        <rFont val="Meiryo UI"/>
        <family val="0"/>
        <charset val="1"/>
      </rPr>
      <t xml:space="preserve">673pt</t>
    </r>
    <r>
      <rPr>
        <sz val="9"/>
        <color rgb="FF000000"/>
        <rFont val="WenQuanYi Zen Hei"/>
        <family val="2"/>
      </rPr>
      <t xml:space="preserve">）。過去に顧客満足度</t>
    </r>
    <r>
      <rPr>
        <sz val="9"/>
        <color rgb="FF000000"/>
        <rFont val="Meiryo UI"/>
        <family val="0"/>
        <charset val="1"/>
      </rPr>
      <t xml:space="preserve">No.1</t>
    </r>
    <r>
      <rPr>
        <sz val="9"/>
        <color rgb="FF000000"/>
        <rFont val="WenQuanYi Zen Hei"/>
        <family val="2"/>
      </rPr>
      <t xml:space="preserve">実績</t>
    </r>
  </si>
  <si>
    <r>
      <rPr>
        <sz val="9"/>
        <color rgb="FF000000"/>
        <rFont val="Meiryo UI"/>
        <family val="0"/>
        <charset val="1"/>
      </rPr>
      <t xml:space="preserve">J.D.</t>
    </r>
    <r>
      <rPr>
        <sz val="9"/>
        <color rgb="FF000000"/>
        <rFont val="WenQuanYi Zen Hei"/>
        <family val="2"/>
      </rPr>
      <t xml:space="preserve">パワー</t>
    </r>
    <r>
      <rPr>
        <sz val="9"/>
        <color rgb="FF000000"/>
        <rFont val="Meiryo UI"/>
        <family val="0"/>
        <charset val="1"/>
      </rPr>
      <t xml:space="preserve">3</t>
    </r>
    <r>
      <rPr>
        <sz val="9"/>
        <color rgb="FF000000"/>
        <rFont val="WenQuanYi Zen Hei"/>
        <family val="2"/>
      </rPr>
      <t xml:space="preserve">年連続</t>
    </r>
    <r>
      <rPr>
        <sz val="9"/>
        <color rgb="FF000000"/>
        <rFont val="Meiryo UI"/>
        <family val="0"/>
        <charset val="1"/>
      </rPr>
      <t xml:space="preserve">1</t>
    </r>
    <r>
      <rPr>
        <sz val="9"/>
        <color rgb="FF000000"/>
        <rFont val="WenQuanYi Zen Hei"/>
        <family val="2"/>
      </rPr>
      <t xml:space="preserve">位（</t>
    </r>
    <r>
      <rPr>
        <sz val="9"/>
        <color rgb="FF000000"/>
        <rFont val="Meiryo UI"/>
        <family val="0"/>
        <charset val="1"/>
      </rPr>
      <t xml:space="preserve">679pt</t>
    </r>
    <r>
      <rPr>
        <sz val="9"/>
        <color rgb="FF000000"/>
        <rFont val="WenQuanYi Zen Hei"/>
        <family val="2"/>
      </rPr>
      <t xml:space="preserve">）</t>
    </r>
  </si>
  <si>
    <r>
      <rPr>
        <sz val="9"/>
        <color rgb="FF000000"/>
        <rFont val="Meiryo UI"/>
        <family val="0"/>
        <charset val="1"/>
      </rPr>
      <t xml:space="preserve">J.D.</t>
    </r>
    <r>
      <rPr>
        <sz val="9"/>
        <color rgb="FF000000"/>
        <rFont val="WenQuanYi Zen Hei"/>
        <family val="2"/>
      </rPr>
      <t xml:space="preserve">パワー</t>
    </r>
    <r>
      <rPr>
        <sz val="9"/>
        <color rgb="FF000000"/>
        <rFont val="Meiryo UI"/>
        <family val="0"/>
        <charset val="1"/>
      </rPr>
      <t xml:space="preserve">2</t>
    </r>
    <r>
      <rPr>
        <sz val="9"/>
        <color rgb="FF000000"/>
        <rFont val="WenQuanYi Zen Hei"/>
        <family val="2"/>
      </rPr>
      <t xml:space="preserve">位（</t>
    </r>
    <r>
      <rPr>
        <sz val="9"/>
        <color rgb="FF000000"/>
        <rFont val="Meiryo UI"/>
        <family val="0"/>
        <charset val="1"/>
      </rPr>
      <t xml:space="preserve">675pt</t>
    </r>
    <r>
      <rPr>
        <sz val="9"/>
        <color rgb="FF000000"/>
        <rFont val="WenQuanYi Zen Hei"/>
        <family val="2"/>
      </rPr>
      <t xml:space="preserve">）</t>
    </r>
  </si>
  <si>
    <t xml:space="preserve">―（調査対象外または非公表）</t>
  </si>
  <si>
    <r>
      <rPr>
        <sz val="9"/>
        <color rgb="FF000000"/>
        <rFont val="Meiryo UI"/>
        <family val="0"/>
        <charset val="1"/>
      </rPr>
      <t xml:space="preserve">Keypoint Intelligence</t>
    </r>
    <r>
      <rPr>
        <sz val="9"/>
        <color rgb="FF000000"/>
        <rFont val="WenQuanYi Zen Hei"/>
        <family val="2"/>
      </rPr>
      <t xml:space="preserve">「</t>
    </r>
    <r>
      <rPr>
        <sz val="9"/>
        <color rgb="FF000000"/>
        <rFont val="Meiryo UI"/>
        <family val="0"/>
        <charset val="1"/>
      </rPr>
      <t xml:space="preserve">Most Reliable A3 Brand</t>
    </r>
    <r>
      <rPr>
        <sz val="9"/>
        <color rgb="FF000000"/>
        <rFont val="WenQuanYi Zen Hei"/>
        <family val="2"/>
      </rPr>
      <t xml:space="preserve">」（</t>
    </r>
    <r>
      <rPr>
        <sz val="9"/>
        <color rgb="FF000000"/>
        <rFont val="Meiryo UI"/>
        <family val="0"/>
        <charset val="1"/>
      </rPr>
      <t xml:space="preserve">2025-2027</t>
    </r>
    <r>
      <rPr>
        <sz val="9"/>
        <color rgb="FF000000"/>
        <rFont val="WenQuanYi Zen Hei"/>
        <family val="2"/>
      </rPr>
      <t xml:space="preserve">）受賞</t>
    </r>
  </si>
  <si>
    <t xml:space="preserve">提携・再編動向</t>
  </si>
  <si>
    <r>
      <rPr>
        <sz val="9"/>
        <color rgb="FF000000"/>
        <rFont val="WenQuanYi Zen Hei"/>
        <family val="2"/>
      </rPr>
      <t xml:space="preserve">コニカミノルタと調達合弁（</t>
    </r>
    <r>
      <rPr>
        <sz val="9"/>
        <color rgb="FF000000"/>
        <rFont val="Meiryo UI"/>
        <family val="0"/>
        <charset val="1"/>
      </rPr>
      <t xml:space="preserve">GPP 75%</t>
    </r>
    <r>
      <rPr>
        <sz val="9"/>
        <color rgb="FF000000"/>
        <rFont val="WenQuanYi Zen Hei"/>
        <family val="2"/>
      </rPr>
      <t xml:space="preserve">出資）。分離上場検討（</t>
    </r>
    <r>
      <rPr>
        <sz val="9"/>
        <color rgb="FF000000"/>
        <rFont val="Meiryo UI"/>
        <family val="0"/>
        <charset val="1"/>
      </rPr>
      <t xml:space="preserve">2026/8</t>
    </r>
    <r>
      <rPr>
        <sz val="9"/>
        <color rgb="FF000000"/>
        <rFont val="WenQuanYi Zen Hei"/>
        <family val="2"/>
      </rPr>
      <t xml:space="preserve">）</t>
    </r>
  </si>
  <si>
    <r>
      <rPr>
        <sz val="9"/>
        <color rgb="FF000000"/>
        <rFont val="Meiryo UI"/>
        <family val="0"/>
        <charset val="1"/>
      </rPr>
      <t xml:space="preserve">ETRIA</t>
    </r>
    <r>
      <rPr>
        <sz val="9"/>
        <color rgb="FF000000"/>
        <rFont val="WenQuanYi Zen Hei"/>
        <family val="2"/>
      </rPr>
      <t xml:space="preserve">（東芝テック・</t>
    </r>
    <r>
      <rPr>
        <sz val="9"/>
        <color rgb="FF000000"/>
        <rFont val="Meiryo UI"/>
        <family val="0"/>
        <charset val="1"/>
      </rPr>
      <t xml:space="preserve">OKI</t>
    </r>
    <r>
      <rPr>
        <sz val="9"/>
        <color rgb="FF000000"/>
        <rFont val="WenQuanYi Zen Hei"/>
        <family val="2"/>
      </rPr>
      <t xml:space="preserve">と生産統合、</t>
    </r>
    <r>
      <rPr>
        <sz val="9"/>
        <color rgb="FF000000"/>
        <rFont val="Meiryo UI"/>
        <family val="0"/>
        <charset val="1"/>
      </rPr>
      <t xml:space="preserve">80.74%</t>
    </r>
    <r>
      <rPr>
        <sz val="9"/>
        <color rgb="FF000000"/>
        <rFont val="WenQuanYi Zen Hei"/>
        <family val="2"/>
      </rPr>
      <t xml:space="preserve">出資）</t>
    </r>
  </si>
  <si>
    <r>
      <rPr>
        <sz val="9"/>
        <color rgb="FF000000"/>
        <rFont val="WenQuanYi Zen Hei"/>
        <family val="2"/>
      </rPr>
      <t xml:space="preserve">富士フイルム</t>
    </r>
    <r>
      <rPr>
        <sz val="9"/>
        <color rgb="FF000000"/>
        <rFont val="Meiryo UI"/>
        <family val="0"/>
        <charset val="1"/>
      </rPr>
      <t xml:space="preserve">BI</t>
    </r>
    <r>
      <rPr>
        <sz val="9"/>
        <color rgb="FF000000"/>
        <rFont val="WenQuanYi Zen Hei"/>
        <family val="2"/>
      </rPr>
      <t xml:space="preserve">と調達合弁（</t>
    </r>
    <r>
      <rPr>
        <sz val="9"/>
        <color rgb="FF000000"/>
        <rFont val="Meiryo UI"/>
        <family val="0"/>
        <charset val="1"/>
      </rPr>
      <t xml:space="preserve">25%</t>
    </r>
    <r>
      <rPr>
        <sz val="9"/>
        <color rgb="FF000000"/>
        <rFont val="WenQuanYi Zen Hei"/>
        <family val="2"/>
      </rPr>
      <t xml:space="preserve">出資）</t>
    </r>
  </si>
  <si>
    <t xml:space="preserve">総合評価コメント（当社所見）</t>
  </si>
  <si>
    <t xml:space="preserve">総合力とサービス網は業界最高水準。分離上場で戦略の自由度が変わる可能性</t>
  </si>
  <si>
    <r>
      <rPr>
        <sz val="9"/>
        <color rgb="FF000000"/>
        <rFont val="WenQuanYi Zen Hei"/>
        <family val="2"/>
      </rPr>
      <t xml:space="preserve">画質（</t>
    </r>
    <r>
      <rPr>
        <sz val="9"/>
        <color rgb="FF000000"/>
        <rFont val="Meiryo UI"/>
        <family val="0"/>
        <charset val="1"/>
      </rPr>
      <t xml:space="preserve">4,800dpi</t>
    </r>
    <r>
      <rPr>
        <sz val="9"/>
        <color rgb="FF000000"/>
        <rFont val="WenQuanYi Zen Hei"/>
        <family val="2"/>
      </rPr>
      <t xml:space="preserve">）とブランド力で高付加価値路線。顧客満足度が武器</t>
    </r>
  </si>
  <si>
    <r>
      <rPr>
        <sz val="9"/>
        <color rgb="FF000000"/>
        <rFont val="WenQuanYi Zen Hei"/>
        <family val="2"/>
      </rPr>
      <t xml:space="preserve">製品鮮度・価格・環境の三拍子。規模の経済（</t>
    </r>
    <r>
      <rPr>
        <sz val="9"/>
        <color rgb="FF000000"/>
        <rFont val="Meiryo UI"/>
        <family val="0"/>
        <charset val="1"/>
      </rPr>
      <t xml:space="preserve">ETRIA</t>
    </r>
    <r>
      <rPr>
        <sz val="9"/>
        <color rgb="FF000000"/>
        <rFont val="WenQuanYi Zen Hei"/>
        <family val="2"/>
      </rPr>
      <t xml:space="preserve">）で攻めの構え</t>
    </r>
  </si>
  <si>
    <t xml:space="preserve">価格と中小向け「全部入り」が強み。ラインナップの幅と保守網は上位社に見劣り</t>
  </si>
  <si>
    <t xml:space="preserve">信頼性評価と環境訴求に強み。国内での存在感向上が課題</t>
  </si>
  <si>
    <r>
      <rPr>
        <b val="true"/>
        <sz val="14"/>
        <color rgb="FF1F3864"/>
        <rFont val="WenQuanYi Zen Hei"/>
        <family val="2"/>
      </rPr>
      <t xml:space="preserve">現行製品ラインナップ一覧（</t>
    </r>
    <r>
      <rPr>
        <b val="true"/>
        <sz val="14"/>
        <color rgb="FF1F3864"/>
        <rFont val="Meiryo UI"/>
        <family val="0"/>
        <charset val="1"/>
      </rPr>
      <t xml:space="preserve">A3</t>
    </r>
    <r>
      <rPr>
        <b val="true"/>
        <sz val="14"/>
        <color rgb="FF1F3864"/>
        <rFont val="WenQuanYi Zen Hei"/>
        <family val="2"/>
      </rPr>
      <t xml:space="preserve">カラー機を中心に）</t>
    </r>
  </si>
  <si>
    <t xml:space="preserve">標準価格＝メーカー希望価格（税別・万円）。※＝販売店公表値（参考）。空欄＝公式未公表。速度の「推定」は型番からの推定。</t>
  </si>
  <si>
    <t xml:space="preserve">メーカー</t>
  </si>
  <si>
    <t xml:space="preserve">シリーズ</t>
  </si>
  <si>
    <t xml:space="preserve">モデル</t>
  </si>
  <si>
    <t xml:space="preserve">区分</t>
  </si>
  <si>
    <r>
      <rPr>
        <b val="true"/>
        <sz val="10"/>
        <color rgb="FFFFFFFF"/>
        <rFont val="WenQuanYi Zen Hei"/>
        <family val="2"/>
      </rPr>
      <t xml:space="preserve">速度</t>
    </r>
    <r>
      <rPr>
        <b val="true"/>
        <sz val="10"/>
        <color rgb="FFFFFFFF"/>
        <rFont val="Meiryo UI"/>
        <family val="0"/>
        <charset val="1"/>
      </rPr>
      <t xml:space="preserve">(ppm)</t>
    </r>
  </si>
  <si>
    <r>
      <rPr>
        <b val="true"/>
        <sz val="10"/>
        <color rgb="FFFFFFFF"/>
        <rFont val="WenQuanYi Zen Hei"/>
        <family val="2"/>
      </rPr>
      <t xml:space="preserve">標準価格</t>
    </r>
    <r>
      <rPr>
        <b val="true"/>
        <sz val="10"/>
        <color rgb="FFFFFFFF"/>
        <rFont val="Meiryo UI"/>
        <family val="0"/>
        <charset val="1"/>
      </rPr>
      <t xml:space="preserve">(</t>
    </r>
    <r>
      <rPr>
        <b val="true"/>
        <sz val="10"/>
        <color rgb="FFFFFFFF"/>
        <rFont val="WenQuanYi Zen Hei"/>
        <family val="2"/>
      </rPr>
      <t xml:space="preserve">万円・税別</t>
    </r>
    <r>
      <rPr>
        <b val="true"/>
        <sz val="10"/>
        <color rgb="FFFFFFFF"/>
        <rFont val="Meiryo UI"/>
        <family val="0"/>
        <charset val="1"/>
      </rPr>
      <t xml:space="preserve">)</t>
    </r>
  </si>
  <si>
    <t xml:space="preserve">発売</t>
  </si>
  <si>
    <r>
      <rPr>
        <b val="true"/>
        <sz val="9"/>
        <color rgb="FF000000"/>
        <rFont val="WenQuanYi Zen Hei"/>
        <family val="2"/>
      </rPr>
      <t xml:space="preserve">富士フイルム</t>
    </r>
    <r>
      <rPr>
        <b val="true"/>
        <sz val="9"/>
        <color rgb="FF000000"/>
        <rFont val="Meiryo UI"/>
        <family val="0"/>
        <charset val="1"/>
      </rPr>
      <t xml:space="preserve">BI</t>
    </r>
  </si>
  <si>
    <r>
      <rPr>
        <sz val="9"/>
        <color rgb="FF000000"/>
        <rFont val="Meiryo UI"/>
        <family val="0"/>
        <charset val="1"/>
      </rPr>
      <t xml:space="preserve">Apeos C7071</t>
    </r>
    <r>
      <rPr>
        <sz val="9"/>
        <color rgb="FF000000"/>
        <rFont val="WenQuanYi Zen Hei"/>
        <family val="2"/>
      </rPr>
      <t xml:space="preserve">シリーズ</t>
    </r>
  </si>
  <si>
    <t xml:space="preserve">Apeos C7071</t>
  </si>
  <si>
    <r>
      <rPr>
        <sz val="9"/>
        <color rgb="FF000000"/>
        <rFont val="Meiryo UI"/>
        <family val="0"/>
        <charset val="1"/>
      </rPr>
      <t xml:space="preserve">A3</t>
    </r>
    <r>
      <rPr>
        <sz val="9"/>
        <color rgb="FF000000"/>
        <rFont val="WenQuanYi Zen Hei"/>
        <family val="2"/>
      </rPr>
      <t xml:space="preserve">カラー</t>
    </r>
  </si>
  <si>
    <t xml:space="preserve">2024/10</t>
  </si>
  <si>
    <r>
      <rPr>
        <sz val="8.5"/>
        <color rgb="FF000000"/>
        <rFont val="WenQuanYi Zen Hei"/>
        <family val="2"/>
      </rPr>
      <t xml:space="preserve">第</t>
    </r>
    <r>
      <rPr>
        <sz val="8.5"/>
        <color rgb="FF000000"/>
        <rFont val="Meiryo UI"/>
        <family val="0"/>
        <charset val="1"/>
      </rPr>
      <t xml:space="preserve">2</t>
    </r>
    <r>
      <rPr>
        <sz val="8.5"/>
        <color rgb="FF000000"/>
        <rFont val="WenQuanYi Zen Hei"/>
        <family val="2"/>
      </rPr>
      <t xml:space="preserve">世代フラッグシップ。両面同時スキャン</t>
    </r>
    <r>
      <rPr>
        <sz val="8.5"/>
        <color rgb="FF000000"/>
        <rFont val="Meiryo UI"/>
        <family val="0"/>
        <charset val="1"/>
      </rPr>
      <t xml:space="preserve">270</t>
    </r>
    <r>
      <rPr>
        <sz val="8.5"/>
        <color rgb="FF000000"/>
        <rFont val="WenQuanYi Zen Hei"/>
        <family val="2"/>
      </rPr>
      <t xml:space="preserve">頁</t>
    </r>
    <r>
      <rPr>
        <sz val="8.5"/>
        <color rgb="FF000000"/>
        <rFont val="Meiryo UI"/>
        <family val="0"/>
        <charset val="1"/>
      </rPr>
      <t xml:space="preserve">/</t>
    </r>
    <r>
      <rPr>
        <sz val="8.5"/>
        <color rgb="FF000000"/>
        <rFont val="WenQuanYi Zen Hei"/>
        <family val="2"/>
      </rPr>
      <t xml:space="preserve">分</t>
    </r>
  </si>
  <si>
    <t xml:space="preserve">Apeos C6571</t>
  </si>
  <si>
    <t xml:space="preserve">Apeos C5571</t>
  </si>
  <si>
    <t xml:space="preserve">Apeos C4571</t>
  </si>
  <si>
    <t xml:space="preserve">Apeos C3571</t>
  </si>
  <si>
    <t xml:space="preserve">Apeos C2571</t>
  </si>
  <si>
    <t xml:space="preserve">Apeos C3067</t>
  </si>
  <si>
    <t xml:space="preserve">中小向けコンパクト・上位機能搭載</t>
  </si>
  <si>
    <r>
      <rPr>
        <sz val="9"/>
        <color rgb="FF000000"/>
        <rFont val="Meiryo UI"/>
        <family val="0"/>
        <charset val="1"/>
      </rPr>
      <t xml:space="preserve">Apeos C3061</t>
    </r>
    <r>
      <rPr>
        <sz val="9"/>
        <color rgb="FF000000"/>
        <rFont val="WenQuanYi Zen Hei"/>
        <family val="2"/>
      </rPr>
      <t xml:space="preserve">シリーズ</t>
    </r>
  </si>
  <si>
    <t xml:space="preserve">Apeos C3061</t>
  </si>
  <si>
    <r>
      <rPr>
        <sz val="8.5"/>
        <color rgb="FF000000"/>
        <rFont val="WenQuanYi Zen Hei"/>
        <family val="2"/>
      </rPr>
      <t xml:space="preserve">エントリー（</t>
    </r>
    <r>
      <rPr>
        <sz val="8.5"/>
        <color rgb="FF000000"/>
        <rFont val="Meiryo UI"/>
        <family val="0"/>
        <charset val="1"/>
      </rPr>
      <t xml:space="preserve">7</t>
    </r>
    <r>
      <rPr>
        <sz val="8.5"/>
        <color rgb="FF000000"/>
        <rFont val="WenQuanYi Zen Hei"/>
        <family val="2"/>
      </rPr>
      <t xml:space="preserve">インチパネル）</t>
    </r>
  </si>
  <si>
    <t xml:space="preserve">Apeos C2561</t>
  </si>
  <si>
    <t xml:space="preserve">Apeos C2061</t>
  </si>
  <si>
    <r>
      <rPr>
        <sz val="9"/>
        <color rgb="FF000000"/>
        <rFont val="Meiryo UI"/>
        <family val="0"/>
        <charset val="1"/>
      </rPr>
      <t xml:space="preserve">Apeos C8180</t>
    </r>
    <r>
      <rPr>
        <sz val="9"/>
        <color rgb="FF000000"/>
        <rFont val="WenQuanYi Zen Hei"/>
        <family val="2"/>
      </rPr>
      <t xml:space="preserve">シリーズ</t>
    </r>
  </si>
  <si>
    <t xml:space="preserve">Apeos C8180/C7580/C6580</t>
  </si>
  <si>
    <r>
      <rPr>
        <sz val="9"/>
        <color rgb="FF000000"/>
        <rFont val="Meiryo UI"/>
        <family val="0"/>
        <charset val="1"/>
      </rPr>
      <t xml:space="preserve">A3</t>
    </r>
    <r>
      <rPr>
        <sz val="9"/>
        <color rgb="FF000000"/>
        <rFont val="WenQuanYi Zen Hei"/>
        <family val="2"/>
      </rPr>
      <t xml:space="preserve">カラー高速</t>
    </r>
  </si>
  <si>
    <r>
      <rPr>
        <sz val="8.5"/>
        <color rgb="FF000000"/>
        <rFont val="WenQuanYi Zen Hei"/>
        <family val="2"/>
      </rPr>
      <t xml:space="preserve">速度</t>
    </r>
    <r>
      <rPr>
        <sz val="8.5"/>
        <color rgb="FF000000"/>
        <rFont val="Meiryo UI"/>
        <family val="0"/>
        <charset val="1"/>
      </rPr>
      <t xml:space="preserve">80ppm</t>
    </r>
    <r>
      <rPr>
        <sz val="8.5"/>
        <color rgb="FF000000"/>
        <rFont val="WenQuanYi Zen Hei"/>
        <family val="2"/>
      </rPr>
      <t xml:space="preserve">級（推定）。大量出力向け</t>
    </r>
  </si>
  <si>
    <r>
      <rPr>
        <sz val="9"/>
        <color rgb="FF000000"/>
        <rFont val="Meiryo UI"/>
        <family val="0"/>
        <charset val="1"/>
      </rPr>
      <t xml:space="preserve">Apeos 3061</t>
    </r>
    <r>
      <rPr>
        <sz val="9"/>
        <color rgb="FF000000"/>
        <rFont val="WenQuanYi Zen Hei"/>
        <family val="2"/>
      </rPr>
      <t xml:space="preserve">シリーズ</t>
    </r>
  </si>
  <si>
    <t xml:space="preserve">Apeos 3061/2561/2061</t>
  </si>
  <si>
    <r>
      <rPr>
        <sz val="9"/>
        <color rgb="FF000000"/>
        <rFont val="Meiryo UI"/>
        <family val="0"/>
        <charset val="1"/>
      </rPr>
      <t xml:space="preserve">A3</t>
    </r>
    <r>
      <rPr>
        <sz val="9"/>
        <color rgb="FF000000"/>
        <rFont val="WenQuanYi Zen Hei"/>
        <family val="2"/>
      </rPr>
      <t xml:space="preserve">モノクロ</t>
    </r>
  </si>
  <si>
    <t xml:space="preserve">2025/10</t>
  </si>
  <si>
    <r>
      <rPr>
        <sz val="8.5"/>
        <color rgb="FF000000"/>
        <rFont val="Meiryo UI"/>
        <family val="0"/>
        <charset val="1"/>
      </rPr>
      <t xml:space="preserve">IWpro</t>
    </r>
    <r>
      <rPr>
        <sz val="8.5"/>
        <color rgb="FF000000"/>
        <rFont val="WenQuanYi Zen Hei"/>
        <family val="2"/>
      </rPr>
      <t xml:space="preserve">連携。速度は最上位</t>
    </r>
    <r>
      <rPr>
        <sz val="8.5"/>
        <color rgb="FF000000"/>
        <rFont val="Meiryo UI"/>
        <family val="0"/>
        <charset val="1"/>
      </rPr>
      <t xml:space="preserve">30ppm</t>
    </r>
  </si>
  <si>
    <t xml:space="preserve">Apeos 4570/3570</t>
  </si>
  <si>
    <t xml:space="preserve">Apeos 3570</t>
  </si>
  <si>
    <t xml:space="preserve">2022/2</t>
  </si>
  <si>
    <r>
      <rPr>
        <sz val="9"/>
        <color rgb="FF000000"/>
        <rFont val="Meiryo UI"/>
        <family val="0"/>
        <charset val="1"/>
      </rPr>
      <t xml:space="preserve">A4</t>
    </r>
    <r>
      <rPr>
        <sz val="9"/>
        <color rgb="FF000000"/>
        <rFont val="WenQuanYi Zen Hei"/>
        <family val="2"/>
      </rPr>
      <t xml:space="preserve">ライン</t>
    </r>
  </si>
  <si>
    <t xml:space="preserve">Apeos C4030</t>
  </si>
  <si>
    <r>
      <rPr>
        <sz val="9"/>
        <color rgb="FF000000"/>
        <rFont val="Meiryo UI"/>
        <family val="0"/>
        <charset val="1"/>
      </rPr>
      <t xml:space="preserve">A4</t>
    </r>
    <r>
      <rPr>
        <sz val="9"/>
        <color rgb="FF000000"/>
        <rFont val="WenQuanYi Zen Hei"/>
        <family val="2"/>
      </rPr>
      <t xml:space="preserve">カラー</t>
    </r>
  </si>
  <si>
    <t xml:space="preserve">2023/2</t>
  </si>
  <si>
    <r>
      <rPr>
        <sz val="8.5"/>
        <color rgb="FF000000"/>
        <rFont val="Meiryo UI"/>
        <family val="0"/>
        <charset val="1"/>
      </rPr>
      <t xml:space="preserve">C3530</t>
    </r>
    <r>
      <rPr>
        <sz val="8.5"/>
        <color rgb="FF000000"/>
        <rFont val="WenQuanYi Zen Hei"/>
        <family val="2"/>
      </rPr>
      <t xml:space="preserve">（</t>
    </r>
    <r>
      <rPr>
        <sz val="8.5"/>
        <color rgb="FF000000"/>
        <rFont val="Meiryo UI"/>
        <family val="0"/>
        <charset val="1"/>
      </rPr>
      <t xml:space="preserve">35ppm</t>
    </r>
    <r>
      <rPr>
        <sz val="8.5"/>
        <color rgb="FF000000"/>
        <rFont val="WenQuanYi Zen Hei"/>
        <family val="2"/>
      </rPr>
      <t xml:space="preserve">・</t>
    </r>
    <r>
      <rPr>
        <sz val="8.5"/>
        <color rgb="FF000000"/>
        <rFont val="Meiryo UI"/>
        <family val="0"/>
        <charset val="1"/>
      </rPr>
      <t xml:space="preserve">68.4</t>
    </r>
    <r>
      <rPr>
        <sz val="8.5"/>
        <color rgb="FF000000"/>
        <rFont val="WenQuanYi Zen Hei"/>
        <family val="2"/>
      </rPr>
      <t xml:space="preserve">万円）等も展開</t>
    </r>
  </si>
  <si>
    <t xml:space="preserve">imageFORCE</t>
  </si>
  <si>
    <t xml:space="preserve">imageFORCE C7165F Pro</t>
  </si>
  <si>
    <t xml:space="preserve">2025</t>
  </si>
  <si>
    <r>
      <rPr>
        <sz val="8.5"/>
        <color rgb="FF000000"/>
        <rFont val="Meiryo UI"/>
        <family val="0"/>
        <charset val="1"/>
      </rPr>
      <t xml:space="preserve">SRA3</t>
    </r>
    <r>
      <rPr>
        <sz val="8.5"/>
        <color rgb="FF000000"/>
        <rFont val="WenQuanYi Zen Hei"/>
        <family val="2"/>
      </rPr>
      <t xml:space="preserve">対応・インハウス印刷向け。標準構成価格</t>
    </r>
  </si>
  <si>
    <t xml:space="preserve">imageFORCE C5100F</t>
  </si>
  <si>
    <t xml:space="preserve">imageFORCE C5170F</t>
  </si>
  <si>
    <t xml:space="preserve">2025/9</t>
  </si>
  <si>
    <r>
      <rPr>
        <sz val="8.5"/>
        <color rgb="FF000000"/>
        <rFont val="WenQuanYi Zen Hei"/>
        <family val="2"/>
      </rPr>
      <t xml:space="preserve">※販売店参考。シリーズは</t>
    </r>
    <r>
      <rPr>
        <sz val="8.5"/>
        <color rgb="FF000000"/>
        <rFont val="Meiryo UI"/>
        <family val="0"/>
        <charset val="1"/>
      </rPr>
      <t xml:space="preserve">314.6</t>
    </r>
    <r>
      <rPr>
        <sz val="8.5"/>
        <color rgb="FF000000"/>
        <rFont val="WenQuanYi Zen Hei"/>
        <family val="2"/>
      </rPr>
      <t xml:space="preserve">万円〜</t>
    </r>
  </si>
  <si>
    <t xml:space="preserve">imageFORCE C5160F</t>
  </si>
  <si>
    <t xml:space="preserve">※販売店参考</t>
  </si>
  <si>
    <t xml:space="preserve">imageFORCE C5150F</t>
  </si>
  <si>
    <t xml:space="preserve">imageFORCE C5140F</t>
  </si>
  <si>
    <t xml:space="preserve">速度は推定。シリーズ下限価格を記載</t>
  </si>
  <si>
    <t xml:space="preserve">imageFORCE C3150F</t>
  </si>
  <si>
    <t xml:space="preserve">2025/11</t>
  </si>
  <si>
    <r>
      <rPr>
        <sz val="8.5"/>
        <color rgb="FF000000"/>
        <rFont val="WenQuanYi Zen Hei"/>
        <family val="2"/>
      </rPr>
      <t xml:space="preserve">コンパクト</t>
    </r>
    <r>
      <rPr>
        <sz val="8.5"/>
        <color rgb="FF000000"/>
        <rFont val="Meiryo UI"/>
        <family val="0"/>
        <charset val="1"/>
      </rPr>
      <t xml:space="preserve">A3</t>
    </r>
  </si>
  <si>
    <t xml:space="preserve">imageFORCE C3100F</t>
  </si>
  <si>
    <t xml:space="preserve">imageFORCE C3135F/C3130F/C3126F</t>
  </si>
  <si>
    <t xml:space="preserve">2026/7</t>
  </si>
  <si>
    <r>
      <rPr>
        <sz val="8.5"/>
        <color rgb="FF000000"/>
        <rFont val="WenQuanYi Zen Hei"/>
        <family val="2"/>
      </rPr>
      <t xml:space="preserve">速度は推定（</t>
    </r>
    <r>
      <rPr>
        <sz val="8.5"/>
        <color rgb="FF000000"/>
        <rFont val="Meiryo UI"/>
        <family val="0"/>
        <charset val="1"/>
      </rPr>
      <t xml:space="preserve">35/30/26</t>
    </r>
    <r>
      <rPr>
        <sz val="8.5"/>
        <color rgb="FF000000"/>
        <rFont val="WenQuanYi Zen Hei"/>
        <family val="2"/>
      </rPr>
      <t xml:space="preserve">）。シリーズ下限価格</t>
    </r>
  </si>
  <si>
    <t xml:space="preserve">imageFORCE C3022F</t>
  </si>
  <si>
    <t xml:space="preserve">速度は推定。オープン価格</t>
  </si>
  <si>
    <r>
      <rPr>
        <sz val="9"/>
        <color rgb="FF000000"/>
        <rFont val="Meiryo UI"/>
        <family val="0"/>
        <charset val="1"/>
      </rPr>
      <t xml:space="preserve">iR-ADV DX</t>
    </r>
    <r>
      <rPr>
        <sz val="9"/>
        <color rgb="FF000000"/>
        <rFont val="WenQuanYi Zen Hei"/>
        <family val="2"/>
      </rPr>
      <t xml:space="preserve">（併売）</t>
    </r>
  </si>
  <si>
    <t xml:space="preserve">iR-ADV DX C3935F</t>
  </si>
  <si>
    <t xml:space="preserve">2023/8</t>
  </si>
  <si>
    <r>
      <rPr>
        <sz val="8.5"/>
        <color rgb="FF000000"/>
        <rFont val="Meiryo UI"/>
        <family val="0"/>
        <charset val="1"/>
      </rPr>
      <t xml:space="preserve">C3930F</t>
    </r>
    <r>
      <rPr>
        <sz val="8.5"/>
        <color rgb="FF000000"/>
        <rFont val="WenQuanYi Zen Hei"/>
        <family val="2"/>
      </rPr>
      <t xml:space="preserve">（</t>
    </r>
    <r>
      <rPr>
        <sz val="8.5"/>
        <color rgb="FF000000"/>
        <rFont val="Meiryo UI"/>
        <family val="0"/>
        <charset val="1"/>
      </rPr>
      <t xml:space="preserve">30ppm</t>
    </r>
    <r>
      <rPr>
        <sz val="8.5"/>
        <color rgb="FF000000"/>
        <rFont val="WenQuanYi Zen Hei"/>
        <family val="2"/>
      </rPr>
      <t xml:space="preserve">・</t>
    </r>
    <r>
      <rPr>
        <sz val="8.5"/>
        <color rgb="FF000000"/>
        <rFont val="Meiryo UI"/>
        <family val="0"/>
        <charset val="1"/>
      </rPr>
      <t xml:space="preserve">198</t>
    </r>
    <r>
      <rPr>
        <sz val="8.5"/>
        <color rgb="FF000000"/>
        <rFont val="WenQuanYi Zen Hei"/>
        <family val="2"/>
      </rPr>
      <t xml:space="preserve">万円）、</t>
    </r>
    <r>
      <rPr>
        <sz val="8.5"/>
        <color rgb="FF000000"/>
        <rFont val="Meiryo UI"/>
        <family val="0"/>
        <charset val="1"/>
      </rPr>
      <t xml:space="preserve">C3926F</t>
    </r>
    <r>
      <rPr>
        <sz val="8.5"/>
        <color rgb="FF000000"/>
        <rFont val="WenQuanYi Zen Hei"/>
        <family val="2"/>
      </rPr>
      <t xml:space="preserve">（</t>
    </r>
    <r>
      <rPr>
        <sz val="8.5"/>
        <color rgb="FF000000"/>
        <rFont val="Meiryo UI"/>
        <family val="0"/>
        <charset val="1"/>
      </rPr>
      <t xml:space="preserve">26ppm</t>
    </r>
    <r>
      <rPr>
        <sz val="8.5"/>
        <color rgb="FF000000"/>
        <rFont val="WenQuanYi Zen Hei"/>
        <family val="2"/>
      </rPr>
      <t xml:space="preserve">・</t>
    </r>
    <r>
      <rPr>
        <sz val="8.5"/>
        <color rgb="FF000000"/>
        <rFont val="Meiryo UI"/>
        <family val="0"/>
        <charset val="1"/>
      </rPr>
      <t xml:space="preserve">177</t>
    </r>
    <r>
      <rPr>
        <sz val="8.5"/>
        <color rgb="FF000000"/>
        <rFont val="WenQuanYi Zen Hei"/>
        <family val="2"/>
      </rPr>
      <t xml:space="preserve">万円）</t>
    </r>
  </si>
  <si>
    <t xml:space="preserve">iR-ADV DX C7780</t>
  </si>
  <si>
    <t xml:space="preserve">2021</t>
  </si>
  <si>
    <r>
      <rPr>
        <sz val="8.5"/>
        <color rgb="FF000000"/>
        <rFont val="WenQuanYi Zen Hei"/>
        <family val="2"/>
      </rPr>
      <t xml:space="preserve">旧フラッグシップ・</t>
    </r>
    <r>
      <rPr>
        <sz val="8.5"/>
        <color rgb="FF000000"/>
        <rFont val="Meiryo UI"/>
        <family val="0"/>
        <charset val="1"/>
      </rPr>
      <t xml:space="preserve">80ppm</t>
    </r>
    <r>
      <rPr>
        <sz val="8.5"/>
        <color rgb="FF000000"/>
        <rFont val="WenQuanYi Zen Hei"/>
        <family val="2"/>
      </rPr>
      <t xml:space="preserve">級</t>
    </r>
  </si>
  <si>
    <t xml:space="preserve">imageFORCE 8105</t>
  </si>
  <si>
    <r>
      <rPr>
        <sz val="9"/>
        <color rgb="FF000000"/>
        <rFont val="Meiryo UI"/>
        <family val="0"/>
        <charset val="1"/>
      </rPr>
      <t xml:space="preserve">A3</t>
    </r>
    <r>
      <rPr>
        <sz val="9"/>
        <color rgb="FF000000"/>
        <rFont val="WenQuanYi Zen Hei"/>
        <family val="2"/>
      </rPr>
      <t xml:space="preserve">モノクロ高速</t>
    </r>
  </si>
  <si>
    <r>
      <rPr>
        <sz val="8.5"/>
        <color rgb="FF000000"/>
        <rFont val="WenQuanYi Zen Hei"/>
        <family val="2"/>
      </rPr>
      <t xml:space="preserve">シリーズ下限価格。</t>
    </r>
    <r>
      <rPr>
        <sz val="8.5"/>
        <color rgb="FF000000"/>
        <rFont val="Meiryo UI"/>
        <family val="0"/>
        <charset val="1"/>
      </rPr>
      <t xml:space="preserve">95ppm</t>
    </r>
    <r>
      <rPr>
        <sz val="8.5"/>
        <color rgb="FF000000"/>
        <rFont val="WenQuanYi Zen Hei"/>
        <family val="2"/>
      </rPr>
      <t xml:space="preserve">（</t>
    </r>
    <r>
      <rPr>
        <sz val="8.5"/>
        <color rgb="FF000000"/>
        <rFont val="Meiryo UI"/>
        <family val="0"/>
        <charset val="1"/>
      </rPr>
      <t xml:space="preserve">8195</t>
    </r>
    <r>
      <rPr>
        <sz val="8.5"/>
        <color rgb="FF000000"/>
        <rFont val="WenQuanYi Zen Hei"/>
        <family val="2"/>
      </rPr>
      <t xml:space="preserve">）・</t>
    </r>
    <r>
      <rPr>
        <sz val="8.5"/>
        <color rgb="FF000000"/>
        <rFont val="Meiryo UI"/>
        <family val="0"/>
        <charset val="1"/>
      </rPr>
      <t xml:space="preserve">86ppm</t>
    </r>
    <r>
      <rPr>
        <sz val="8.5"/>
        <color rgb="FF000000"/>
        <rFont val="WenQuanYi Zen Hei"/>
        <family val="2"/>
      </rPr>
      <t xml:space="preserve">（</t>
    </r>
    <r>
      <rPr>
        <sz val="8.5"/>
        <color rgb="FF000000"/>
        <rFont val="Meiryo UI"/>
        <family val="0"/>
        <charset val="1"/>
      </rPr>
      <t xml:space="preserve">8186</t>
    </r>
    <r>
      <rPr>
        <sz val="8.5"/>
        <color rgb="FF000000"/>
        <rFont val="WenQuanYi Zen Hei"/>
        <family val="2"/>
      </rPr>
      <t xml:space="preserve">）も</t>
    </r>
  </si>
  <si>
    <t xml:space="preserve">imageFORCE 6170/6160</t>
  </si>
  <si>
    <t xml:space="preserve">シリーズ下限価格</t>
  </si>
  <si>
    <t xml:space="preserve">imageFORCE C431F/C331F</t>
  </si>
  <si>
    <r>
      <rPr>
        <sz val="9"/>
        <color rgb="FF000000"/>
        <rFont val="Meiryo UI"/>
        <family val="0"/>
        <charset val="1"/>
      </rPr>
      <t xml:space="preserve">IM C6011</t>
    </r>
    <r>
      <rPr>
        <sz val="9"/>
        <color rgb="FF000000"/>
        <rFont val="WenQuanYi Zen Hei"/>
        <family val="2"/>
      </rPr>
      <t xml:space="preserve">シリーズ</t>
    </r>
  </si>
  <si>
    <t xml:space="preserve">RICOH IM C6011</t>
  </si>
  <si>
    <t xml:space="preserve">2026/8/24</t>
  </si>
  <si>
    <r>
      <rPr>
        <sz val="8.5"/>
        <color rgb="FF000000"/>
        <rFont val="WenQuanYi Zen Hei"/>
        <family val="2"/>
      </rPr>
      <t xml:space="preserve">最新標準シリーズ。</t>
    </r>
    <r>
      <rPr>
        <sz val="8.5"/>
        <color rgb="FF000000"/>
        <rFont val="Meiryo UI"/>
        <family val="0"/>
        <charset val="1"/>
      </rPr>
      <t xml:space="preserve">OCR</t>
    </r>
    <r>
      <rPr>
        <sz val="8.5"/>
        <color rgb="FF000000"/>
        <rFont val="WenQuanYi Zen Hei"/>
        <family val="2"/>
      </rPr>
      <t xml:space="preserve">・無線</t>
    </r>
    <r>
      <rPr>
        <sz val="8.5"/>
        <color rgb="FF000000"/>
        <rFont val="Meiryo UI"/>
        <family val="0"/>
        <charset val="1"/>
      </rPr>
      <t xml:space="preserve">LAN</t>
    </r>
    <r>
      <rPr>
        <sz val="8.5"/>
        <color rgb="FF000000"/>
        <rFont val="WenQuanYi Zen Hei"/>
        <family val="2"/>
      </rPr>
      <t xml:space="preserve">標準</t>
    </r>
  </si>
  <si>
    <t xml:space="preserve">RICOH IM C5511</t>
  </si>
  <si>
    <t xml:space="preserve">RICOH IM C4511</t>
  </si>
  <si>
    <t xml:space="preserve">RICOH IM C3511</t>
  </si>
  <si>
    <t xml:space="preserve">RICOH IM C3011</t>
  </si>
  <si>
    <t xml:space="preserve">RICOH IM C2511</t>
  </si>
  <si>
    <t xml:space="preserve">RICOH IM C2011</t>
  </si>
  <si>
    <r>
      <rPr>
        <sz val="8.5"/>
        <color rgb="FF000000"/>
        <rFont val="Meiryo UI"/>
        <family val="0"/>
        <charset val="1"/>
      </rPr>
      <t xml:space="preserve">5</t>
    </r>
    <r>
      <rPr>
        <sz val="8.5"/>
        <color rgb="FF000000"/>
        <rFont val="WenQuanYi Zen Hei"/>
        <family val="2"/>
      </rPr>
      <t xml:space="preserve">社の現行</t>
    </r>
    <r>
      <rPr>
        <sz val="8.5"/>
        <color rgb="FF000000"/>
        <rFont val="Meiryo UI"/>
        <family val="0"/>
        <charset val="1"/>
      </rPr>
      <t xml:space="preserve">A3</t>
    </r>
    <r>
      <rPr>
        <sz val="8.5"/>
        <color rgb="FF000000"/>
        <rFont val="WenQuanYi Zen Hei"/>
        <family val="2"/>
      </rPr>
      <t xml:space="preserve">カラーで最安の標準価格</t>
    </r>
  </si>
  <si>
    <r>
      <rPr>
        <sz val="9"/>
        <color rgb="FF000000"/>
        <rFont val="Meiryo UI"/>
        <family val="0"/>
        <charset val="1"/>
      </rPr>
      <t xml:space="preserve">IM C7010</t>
    </r>
    <r>
      <rPr>
        <sz val="9"/>
        <color rgb="FF000000"/>
        <rFont val="WenQuanYi Zen Hei"/>
        <family val="2"/>
      </rPr>
      <t xml:space="preserve">（併売）</t>
    </r>
  </si>
  <si>
    <t xml:space="preserve">RICOH IM C7010</t>
  </si>
  <si>
    <t xml:space="preserve">2024/1</t>
  </si>
  <si>
    <r>
      <rPr>
        <sz val="8.5"/>
        <color rgb="FF000000"/>
        <rFont val="WenQuanYi Zen Hei"/>
        <family val="2"/>
      </rPr>
      <t xml:space="preserve">リコー初の</t>
    </r>
    <r>
      <rPr>
        <sz val="8.5"/>
        <color rgb="FF000000"/>
        <rFont val="Meiryo UI"/>
        <family val="0"/>
        <charset val="1"/>
      </rPr>
      <t xml:space="preserve">A3</t>
    </r>
    <r>
      <rPr>
        <sz val="8.5"/>
        <color rgb="FF000000"/>
        <rFont val="WenQuanYi Zen Hei"/>
        <family val="2"/>
      </rPr>
      <t xml:space="preserve">カラー</t>
    </r>
    <r>
      <rPr>
        <sz val="8.5"/>
        <color rgb="FF000000"/>
        <rFont val="Meiryo UI"/>
        <family val="0"/>
        <charset val="1"/>
      </rPr>
      <t xml:space="preserve">70</t>
    </r>
    <r>
      <rPr>
        <sz val="8.5"/>
        <color rgb="FF000000"/>
        <rFont val="WenQuanYi Zen Hei"/>
        <family val="2"/>
      </rPr>
      <t xml:space="preserve">枚機</t>
    </r>
  </si>
  <si>
    <r>
      <rPr>
        <sz val="9"/>
        <color rgb="FF000000"/>
        <rFont val="Meiryo UI"/>
        <family val="0"/>
        <charset val="1"/>
      </rPr>
      <t xml:space="preserve">IM C8010</t>
    </r>
    <r>
      <rPr>
        <sz val="9"/>
        <color rgb="FF000000"/>
        <rFont val="WenQuanYi Zen Hei"/>
        <family val="2"/>
      </rPr>
      <t xml:space="preserve">シリーズ</t>
    </r>
  </si>
  <si>
    <t xml:space="preserve">RICOH IM C8010</t>
  </si>
  <si>
    <t xml:space="preserve">2025/5</t>
  </si>
  <si>
    <r>
      <rPr>
        <sz val="8.5"/>
        <color rgb="FF000000"/>
        <rFont val="WenQuanYi Zen Hei"/>
        <family val="2"/>
      </rPr>
      <t xml:space="preserve">業界初・水湿し圧着式針なし綴じ</t>
    </r>
    <r>
      <rPr>
        <sz val="8.5"/>
        <color rgb="FF000000"/>
        <rFont val="Meiryo UI"/>
        <family val="0"/>
        <charset val="1"/>
      </rPr>
      <t xml:space="preserve">20</t>
    </r>
    <r>
      <rPr>
        <sz val="8.5"/>
        <color rgb="FF000000"/>
        <rFont val="WenQuanYi Zen Hei"/>
        <family val="2"/>
      </rPr>
      <t xml:space="preserve">枚</t>
    </r>
  </si>
  <si>
    <t xml:space="preserve">RICOH IM C6510</t>
  </si>
  <si>
    <r>
      <rPr>
        <sz val="8.5"/>
        <color rgb="FF000000"/>
        <rFont val="Meiryo UI"/>
        <family val="0"/>
        <charset val="1"/>
      </rPr>
      <t xml:space="preserve">AI</t>
    </r>
    <r>
      <rPr>
        <sz val="8.5"/>
        <color rgb="FF000000"/>
        <rFont val="WenQuanYi Zen Hei"/>
        <family val="2"/>
      </rPr>
      <t xml:space="preserve">スキャン天地補正</t>
    </r>
  </si>
  <si>
    <r>
      <rPr>
        <sz val="9"/>
        <color rgb="FF000000"/>
        <rFont val="Meiryo UI"/>
        <family val="0"/>
        <charset val="1"/>
      </rPr>
      <t xml:space="preserve">SD</t>
    </r>
    <r>
      <rPr>
        <sz val="9"/>
        <color rgb="FF000000"/>
        <rFont val="WenQuanYi Zen Hei"/>
        <family val="2"/>
      </rPr>
      <t xml:space="preserve">シリーズ</t>
    </r>
  </si>
  <si>
    <t xml:space="preserve">RICOH IM C6010SD/C4510SD/C3010SD</t>
  </si>
  <si>
    <t xml:space="preserve">2025/2</t>
  </si>
  <si>
    <r>
      <rPr>
        <sz val="8.5"/>
        <color rgb="FF000000"/>
        <rFont val="Meiryo UI"/>
        <family val="0"/>
        <charset val="1"/>
      </rPr>
      <t xml:space="preserve">PFU</t>
    </r>
    <r>
      <rPr>
        <sz val="8.5"/>
        <color rgb="FF000000"/>
        <rFont val="WenQuanYi Zen Hei"/>
        <family val="2"/>
      </rPr>
      <t xml:space="preserve">スキャン技術融合。価格は</t>
    </r>
    <r>
      <rPr>
        <sz val="8.5"/>
        <color rgb="FF000000"/>
        <rFont val="Meiryo UI"/>
        <family val="0"/>
        <charset val="1"/>
      </rPr>
      <t xml:space="preserve">C3010SD</t>
    </r>
    <r>
      <rPr>
        <sz val="8.5"/>
        <color rgb="FF000000"/>
        <rFont val="WenQuanYi Zen Hei"/>
        <family val="2"/>
      </rPr>
      <t xml:space="preserve">（</t>
    </r>
    <r>
      <rPr>
        <sz val="8.5"/>
        <color rgb="FF000000"/>
        <rFont val="Meiryo UI"/>
        <family val="0"/>
        <charset val="1"/>
      </rPr>
      <t xml:space="preserve">30ppm</t>
    </r>
    <r>
      <rPr>
        <sz val="8.5"/>
        <color rgb="FF000000"/>
        <rFont val="WenQuanYi Zen Hei"/>
        <family val="2"/>
      </rPr>
      <t xml:space="preserve">）</t>
    </r>
  </si>
  <si>
    <r>
      <rPr>
        <sz val="9"/>
        <color rgb="FF000000"/>
        <rFont val="Meiryo UI"/>
        <family val="0"/>
        <charset val="1"/>
      </rPr>
      <t xml:space="preserve">IM </t>
    </r>
    <r>
      <rPr>
        <sz val="9"/>
        <color rgb="FF000000"/>
        <rFont val="WenQuanYi Zen Hei"/>
        <family val="2"/>
      </rPr>
      <t xml:space="preserve">モノクロ</t>
    </r>
  </si>
  <si>
    <t xml:space="preserve">RICOH IM 7010</t>
  </si>
  <si>
    <t xml:space="preserve">2026/5</t>
  </si>
  <si>
    <r>
      <rPr>
        <sz val="8.5"/>
        <color rgb="FF000000"/>
        <rFont val="Meiryo UI"/>
        <family val="0"/>
        <charset val="1"/>
      </rPr>
      <t xml:space="preserve">70</t>
    </r>
    <r>
      <rPr>
        <sz val="8.5"/>
        <color rgb="FF000000"/>
        <rFont val="WenQuanYi Zen Hei"/>
        <family val="2"/>
      </rPr>
      <t xml:space="preserve">枚機で初の胴内排紙</t>
    </r>
  </si>
  <si>
    <t xml:space="preserve">RICOH IM 6010/4510/3510/2510</t>
  </si>
  <si>
    <t xml:space="preserve">2026/1</t>
  </si>
  <si>
    <r>
      <rPr>
        <sz val="8.5"/>
        <color rgb="FF000000"/>
        <rFont val="WenQuanYi Zen Hei"/>
        <family val="2"/>
      </rPr>
      <t xml:space="preserve">価格は</t>
    </r>
    <r>
      <rPr>
        <sz val="8.5"/>
        <color rgb="FF000000"/>
        <rFont val="Meiryo UI"/>
        <family val="0"/>
        <charset val="1"/>
      </rPr>
      <t xml:space="preserve">IM 2510</t>
    </r>
    <r>
      <rPr>
        <sz val="8.5"/>
        <color rgb="FF000000"/>
        <rFont val="WenQuanYi Zen Hei"/>
        <family val="2"/>
      </rPr>
      <t xml:space="preserve">（</t>
    </r>
    <r>
      <rPr>
        <sz val="8.5"/>
        <color rgb="FF000000"/>
        <rFont val="Meiryo UI"/>
        <family val="0"/>
        <charset val="1"/>
      </rPr>
      <t xml:space="preserve">25ppm</t>
    </r>
    <r>
      <rPr>
        <sz val="8.5"/>
        <color rgb="FF000000"/>
        <rFont val="WenQuanYi Zen Hei"/>
        <family val="2"/>
      </rPr>
      <t xml:space="preserve">）。</t>
    </r>
    <r>
      <rPr>
        <sz val="8.5"/>
        <color rgb="FF000000"/>
        <rFont val="Meiryo UI"/>
        <family val="0"/>
        <charset val="1"/>
      </rPr>
      <t xml:space="preserve">IM 6010</t>
    </r>
    <r>
      <rPr>
        <sz val="8.5"/>
        <color rgb="FF000000"/>
        <rFont val="WenQuanYi Zen Hei"/>
        <family val="2"/>
      </rPr>
      <t xml:space="preserve">は</t>
    </r>
    <r>
      <rPr>
        <sz val="8.5"/>
        <color rgb="FF000000"/>
        <rFont val="Meiryo UI"/>
        <family val="0"/>
        <charset val="1"/>
      </rPr>
      <t xml:space="preserve">275</t>
    </r>
    <r>
      <rPr>
        <sz val="8.5"/>
        <color rgb="FF000000"/>
        <rFont val="WenQuanYi Zen Hei"/>
        <family val="2"/>
      </rPr>
      <t xml:space="preserve">万円</t>
    </r>
  </si>
  <si>
    <t xml:space="preserve">RICOH IM C431F</t>
  </si>
  <si>
    <t xml:space="preserve">2025/1</t>
  </si>
  <si>
    <r>
      <rPr>
        <sz val="8.5"/>
        <color rgb="FF000000"/>
        <rFont val="WenQuanYi Zen Hei"/>
        <family val="2"/>
      </rPr>
      <t xml:space="preserve">モノクロ</t>
    </r>
    <r>
      <rPr>
        <sz val="8.5"/>
        <color rgb="FF000000"/>
        <rFont val="Meiryo UI"/>
        <family val="0"/>
        <charset val="1"/>
      </rPr>
      <t xml:space="preserve">43/</t>
    </r>
    <r>
      <rPr>
        <sz val="8.5"/>
        <color rgb="FF000000"/>
        <rFont val="WenQuanYi Zen Hei"/>
        <family val="2"/>
      </rPr>
      <t xml:space="preserve">カラー</t>
    </r>
    <r>
      <rPr>
        <sz val="8.5"/>
        <color rgb="FF000000"/>
        <rFont val="Meiryo UI"/>
        <family val="0"/>
        <charset val="1"/>
      </rPr>
      <t xml:space="preserve">40ppm</t>
    </r>
  </si>
  <si>
    <r>
      <rPr>
        <sz val="9"/>
        <color rgb="FF000000"/>
        <rFont val="WenQuanYi Zen Hei"/>
        <family val="2"/>
      </rPr>
      <t xml:space="preserve">新</t>
    </r>
    <r>
      <rPr>
        <sz val="9"/>
        <color rgb="FF000000"/>
        <rFont val="Meiryo UI"/>
        <family val="0"/>
        <charset val="1"/>
      </rPr>
      <t xml:space="preserve">BP</t>
    </r>
    <r>
      <rPr>
        <sz val="9"/>
        <color rgb="FF000000"/>
        <rFont val="WenQuanYi Zen Hei"/>
        <family val="2"/>
      </rPr>
      <t xml:space="preserve">シリーズ </t>
    </r>
    <r>
      <rPr>
        <sz val="9"/>
        <color rgb="FF000000"/>
        <rFont val="Meiryo UI"/>
        <family val="0"/>
        <charset val="1"/>
      </rPr>
      <t xml:space="preserve">71C</t>
    </r>
  </si>
  <si>
    <t xml:space="preserve">BP-71C65</t>
  </si>
  <si>
    <r>
      <rPr>
        <sz val="8.5"/>
        <color rgb="FF000000"/>
        <rFont val="Meiryo UI"/>
        <family val="0"/>
        <charset val="1"/>
      </rPr>
      <t xml:space="preserve">DSPF</t>
    </r>
    <r>
      <rPr>
        <sz val="8.5"/>
        <color rgb="FF000000"/>
        <rFont val="WenQuanYi Zen Hei"/>
        <family val="2"/>
      </rPr>
      <t xml:space="preserve">両面同時読取・スキャン</t>
    </r>
    <r>
      <rPr>
        <sz val="8.5"/>
        <color rgb="FF000000"/>
        <rFont val="Meiryo UI"/>
        <family val="0"/>
        <charset val="1"/>
      </rPr>
      <t xml:space="preserve">300</t>
    </r>
    <r>
      <rPr>
        <sz val="8.5"/>
        <color rgb="FF000000"/>
        <rFont val="WenQuanYi Zen Hei"/>
        <family val="2"/>
      </rPr>
      <t xml:space="preserve">面</t>
    </r>
    <r>
      <rPr>
        <sz val="8.5"/>
        <color rgb="FF000000"/>
        <rFont val="Meiryo UI"/>
        <family val="0"/>
        <charset val="1"/>
      </rPr>
      <t xml:space="preserve">/</t>
    </r>
    <r>
      <rPr>
        <sz val="8.5"/>
        <color rgb="FF000000"/>
        <rFont val="WenQuanYi Zen Hei"/>
        <family val="2"/>
      </rPr>
      <t xml:space="preserve">分</t>
    </r>
  </si>
  <si>
    <t xml:space="preserve">BP-71C55</t>
  </si>
  <si>
    <t xml:space="preserve">BP-71C45</t>
  </si>
  <si>
    <t xml:space="preserve">BP-71C36/C26</t>
  </si>
  <si>
    <r>
      <rPr>
        <sz val="9"/>
        <color rgb="FF000000"/>
        <rFont val="WenQuanYi Zen Hei"/>
        <family val="2"/>
      </rPr>
      <t xml:space="preserve">新</t>
    </r>
    <r>
      <rPr>
        <sz val="9"/>
        <color rgb="FF000000"/>
        <rFont val="Meiryo UI"/>
        <family val="0"/>
        <charset val="1"/>
      </rPr>
      <t xml:space="preserve">BP</t>
    </r>
    <r>
      <rPr>
        <sz val="9"/>
        <color rgb="FF000000"/>
        <rFont val="WenQuanYi Zen Hei"/>
        <family val="2"/>
      </rPr>
      <t xml:space="preserve">シリーズ </t>
    </r>
    <r>
      <rPr>
        <sz val="9"/>
        <color rgb="FF000000"/>
        <rFont val="Meiryo UI"/>
        <family val="0"/>
        <charset val="1"/>
      </rPr>
      <t xml:space="preserve">51C</t>
    </r>
  </si>
  <si>
    <t xml:space="preserve">BP-51C65/C55/C45</t>
  </si>
  <si>
    <t xml:space="preserve">中位グレード</t>
  </si>
  <si>
    <r>
      <rPr>
        <sz val="9"/>
        <color rgb="FF000000"/>
        <rFont val="WenQuanYi Zen Hei"/>
        <family val="2"/>
      </rPr>
      <t xml:space="preserve">新</t>
    </r>
    <r>
      <rPr>
        <sz val="9"/>
        <color rgb="FF000000"/>
        <rFont val="Meiryo UI"/>
        <family val="0"/>
        <charset val="1"/>
      </rPr>
      <t xml:space="preserve">BP</t>
    </r>
    <r>
      <rPr>
        <sz val="9"/>
        <color rgb="FF000000"/>
        <rFont val="WenQuanYi Zen Hei"/>
        <family val="2"/>
      </rPr>
      <t xml:space="preserve">シリーズ </t>
    </r>
    <r>
      <rPr>
        <sz val="9"/>
        <color rgb="FF000000"/>
        <rFont val="Meiryo UI"/>
        <family val="0"/>
        <charset val="1"/>
      </rPr>
      <t xml:space="preserve">61C</t>
    </r>
  </si>
  <si>
    <t xml:space="preserve">BP-61C36/C31/C26</t>
  </si>
  <si>
    <r>
      <rPr>
        <sz val="8.5"/>
        <color rgb="FF000000"/>
        <rFont val="WenQuanYi Zen Hei"/>
        <family val="2"/>
      </rPr>
      <t xml:space="preserve">価格は</t>
    </r>
    <r>
      <rPr>
        <sz val="8.5"/>
        <color rgb="FF000000"/>
        <rFont val="Meiryo UI"/>
        <family val="0"/>
        <charset val="1"/>
      </rPr>
      <t xml:space="preserve">BP-61C26</t>
    </r>
    <r>
      <rPr>
        <sz val="8.5"/>
        <color rgb="FF000000"/>
        <rFont val="WenQuanYi Zen Hei"/>
        <family val="2"/>
      </rPr>
      <t xml:space="preserve">（</t>
    </r>
    <r>
      <rPr>
        <sz val="8.5"/>
        <color rgb="FF000000"/>
        <rFont val="Meiryo UI"/>
        <family val="0"/>
        <charset val="1"/>
      </rPr>
      <t xml:space="preserve">26ppm</t>
    </r>
    <r>
      <rPr>
        <sz val="8.5"/>
        <color rgb="FF000000"/>
        <rFont val="WenQuanYi Zen Hei"/>
        <family val="2"/>
      </rPr>
      <t xml:space="preserve">）</t>
    </r>
  </si>
  <si>
    <r>
      <rPr>
        <sz val="9"/>
        <color rgb="FF000000"/>
        <rFont val="WenQuanYi Zen Hei"/>
        <family val="2"/>
      </rPr>
      <t xml:space="preserve">新</t>
    </r>
    <r>
      <rPr>
        <sz val="9"/>
        <color rgb="FF000000"/>
        <rFont val="Meiryo UI"/>
        <family val="0"/>
        <charset val="1"/>
      </rPr>
      <t xml:space="preserve">BP</t>
    </r>
    <r>
      <rPr>
        <sz val="9"/>
        <color rgb="FF000000"/>
        <rFont val="WenQuanYi Zen Hei"/>
        <family val="2"/>
      </rPr>
      <t xml:space="preserve">シリーズ </t>
    </r>
    <r>
      <rPr>
        <sz val="9"/>
        <color rgb="FF000000"/>
        <rFont val="Meiryo UI"/>
        <family val="0"/>
        <charset val="1"/>
      </rPr>
      <t xml:space="preserve">41C</t>
    </r>
  </si>
  <si>
    <t xml:space="preserve">BP-41C36/C26</t>
  </si>
  <si>
    <r>
      <rPr>
        <sz val="8.5"/>
        <color rgb="FF000000"/>
        <rFont val="WenQuanYi Zen Hei"/>
        <family val="2"/>
      </rPr>
      <t xml:space="preserve">価格は</t>
    </r>
    <r>
      <rPr>
        <sz val="8.5"/>
        <color rgb="FF000000"/>
        <rFont val="Meiryo UI"/>
        <family val="0"/>
        <charset val="1"/>
      </rPr>
      <t xml:space="preserve">BP-41C26</t>
    </r>
    <r>
      <rPr>
        <sz val="8.5"/>
        <color rgb="FF000000"/>
        <rFont val="WenQuanYi Zen Hei"/>
        <family val="2"/>
      </rPr>
      <t xml:space="preserve">（</t>
    </r>
    <r>
      <rPr>
        <sz val="8.5"/>
        <color rgb="FF000000"/>
        <rFont val="Meiryo UI"/>
        <family val="0"/>
        <charset val="1"/>
      </rPr>
      <t xml:space="preserve">26ppm</t>
    </r>
    <r>
      <rPr>
        <sz val="8.5"/>
        <color rgb="FF000000"/>
        <rFont val="WenQuanYi Zen Hei"/>
        <family val="2"/>
      </rPr>
      <t xml:space="preserve">）。無線</t>
    </r>
    <r>
      <rPr>
        <sz val="8.5"/>
        <color rgb="FF000000"/>
        <rFont val="Meiryo UI"/>
        <family val="0"/>
        <charset val="1"/>
      </rPr>
      <t xml:space="preserve">LAN</t>
    </r>
    <r>
      <rPr>
        <sz val="8.5"/>
        <color rgb="FF000000"/>
        <rFont val="WenQuanYi Zen Hei"/>
        <family val="2"/>
      </rPr>
      <t xml:space="preserve">オプション</t>
    </r>
  </si>
  <si>
    <t xml:space="preserve">コンパクト</t>
  </si>
  <si>
    <t xml:space="preserve">BP-22C20</t>
  </si>
  <si>
    <t xml:space="preserve">2025/4</t>
  </si>
  <si>
    <r>
      <rPr>
        <sz val="8.5"/>
        <color rgb="FF000000"/>
        <rFont val="WenQuanYi Zen Hei"/>
        <family val="2"/>
      </rPr>
      <t xml:space="preserve">業界最小クラス設置面積・</t>
    </r>
    <r>
      <rPr>
        <sz val="8.5"/>
        <color rgb="FF000000"/>
        <rFont val="Meiryo UI"/>
        <family val="0"/>
        <charset val="1"/>
      </rPr>
      <t xml:space="preserve">FAX</t>
    </r>
    <r>
      <rPr>
        <sz val="8.5"/>
        <color rgb="FF000000"/>
        <rFont val="WenQuanYi Zen Hei"/>
        <family val="2"/>
      </rPr>
      <t xml:space="preserve">標準</t>
    </r>
  </si>
  <si>
    <r>
      <rPr>
        <sz val="9"/>
        <color rgb="FF000000"/>
        <rFont val="WenQuanYi Zen Hei"/>
        <family val="2"/>
      </rPr>
      <t xml:space="preserve">新</t>
    </r>
    <r>
      <rPr>
        <sz val="9"/>
        <color rgb="FF000000"/>
        <rFont val="Meiryo UI"/>
        <family val="0"/>
        <charset val="1"/>
      </rPr>
      <t xml:space="preserve">BP</t>
    </r>
    <r>
      <rPr>
        <sz val="9"/>
        <color rgb="FF000000"/>
        <rFont val="WenQuanYi Zen Hei"/>
        <family val="2"/>
      </rPr>
      <t xml:space="preserve">シリーズ </t>
    </r>
    <r>
      <rPr>
        <sz val="9"/>
        <color rgb="FF000000"/>
        <rFont val="Meiryo UI"/>
        <family val="0"/>
        <charset val="1"/>
      </rPr>
      <t xml:space="preserve">71M</t>
    </r>
  </si>
  <si>
    <t xml:space="preserve">BP-71M65/M55/M45</t>
  </si>
  <si>
    <r>
      <rPr>
        <sz val="8.5"/>
        <color rgb="FF000000"/>
        <rFont val="Meiryo UI"/>
        <family val="0"/>
        <charset val="1"/>
      </rPr>
      <t xml:space="preserve">BP-71M45</t>
    </r>
    <r>
      <rPr>
        <sz val="8.5"/>
        <color rgb="FF000000"/>
        <rFont val="WenQuanYi Zen Hei"/>
        <family val="2"/>
      </rPr>
      <t xml:space="preserve">は約</t>
    </r>
    <r>
      <rPr>
        <sz val="8.5"/>
        <color rgb="FF000000"/>
        <rFont val="Meiryo UI"/>
        <family val="0"/>
        <charset val="1"/>
      </rPr>
      <t xml:space="preserve">190</t>
    </r>
    <r>
      <rPr>
        <sz val="8.5"/>
        <color rgb="FF000000"/>
        <rFont val="WenQuanYi Zen Hei"/>
        <family val="2"/>
      </rPr>
      <t xml:space="preserve">万円※</t>
    </r>
  </si>
  <si>
    <t xml:space="preserve">高速モノクロ</t>
  </si>
  <si>
    <t xml:space="preserve">BP-70M90</t>
  </si>
  <si>
    <t xml:space="preserve">2022/8</t>
  </si>
  <si>
    <r>
      <rPr>
        <sz val="8.5"/>
        <color rgb="FF000000"/>
        <rFont val="Meiryo UI"/>
        <family val="0"/>
        <charset val="1"/>
      </rPr>
      <t xml:space="preserve">BP-70M75</t>
    </r>
    <r>
      <rPr>
        <sz val="8.5"/>
        <color rgb="FF000000"/>
        <rFont val="WenQuanYi Zen Hei"/>
        <family val="2"/>
      </rPr>
      <t xml:space="preserve">（</t>
    </r>
    <r>
      <rPr>
        <sz val="8.5"/>
        <color rgb="FF000000"/>
        <rFont val="Meiryo UI"/>
        <family val="0"/>
        <charset val="1"/>
      </rPr>
      <t xml:space="preserve">75ppm</t>
    </r>
    <r>
      <rPr>
        <sz val="8.5"/>
        <color rgb="FF000000"/>
        <rFont val="WenQuanYi Zen Hei"/>
        <family val="2"/>
      </rPr>
      <t xml:space="preserve">）も展開</t>
    </r>
  </si>
  <si>
    <t xml:space="preserve">BP-C131WD</t>
  </si>
  <si>
    <t xml:space="preserve">2024/12</t>
  </si>
  <si>
    <r>
      <rPr>
        <sz val="8.5"/>
        <color rgb="FF000000"/>
        <rFont val="WenQuanYi Zen Hei"/>
        <family val="2"/>
      </rPr>
      <t xml:space="preserve">※参考。クラス最小・グッドデザイン賞・</t>
    </r>
    <r>
      <rPr>
        <sz val="8.5"/>
        <color rgb="FF000000"/>
        <rFont val="Meiryo UI"/>
        <family val="0"/>
        <charset val="1"/>
      </rPr>
      <t xml:space="preserve">TEC</t>
    </r>
    <r>
      <rPr>
        <sz val="8.5"/>
        <color rgb="FF000000"/>
        <rFont val="WenQuanYi Zen Hei"/>
        <family val="2"/>
      </rPr>
      <t xml:space="preserve">値</t>
    </r>
    <r>
      <rPr>
        <sz val="8.5"/>
        <color rgb="FF000000"/>
        <rFont val="Meiryo UI"/>
        <family val="0"/>
        <charset val="1"/>
      </rPr>
      <t xml:space="preserve">0.30kWh/</t>
    </r>
    <r>
      <rPr>
        <sz val="8.5"/>
        <color rgb="FF000000"/>
        <rFont val="WenQuanYi Zen Hei"/>
        <family val="2"/>
      </rPr>
      <t xml:space="preserve">週</t>
    </r>
  </si>
  <si>
    <r>
      <rPr>
        <sz val="9"/>
        <color rgb="FF000000"/>
        <rFont val="Meiryo UI"/>
        <family val="0"/>
        <charset val="1"/>
      </rPr>
      <t xml:space="preserve">bizhub 1i</t>
    </r>
    <r>
      <rPr>
        <sz val="9"/>
        <color rgb="FF000000"/>
        <rFont val="WenQuanYi Zen Hei"/>
        <family val="2"/>
      </rPr>
      <t xml:space="preserve">シリーズ</t>
    </r>
  </si>
  <si>
    <t xml:space="preserve">bizhub C751i</t>
  </si>
  <si>
    <t xml:space="preserve">2024/5</t>
  </si>
  <si>
    <r>
      <rPr>
        <sz val="8.5"/>
        <color rgb="FF000000"/>
        <rFont val="WenQuanYi Zen Hei"/>
        <family val="2"/>
      </rPr>
      <t xml:space="preserve">※販社公表の標準価格。</t>
    </r>
    <r>
      <rPr>
        <sz val="8.5"/>
        <color rgb="FF000000"/>
        <rFont val="Meiryo UI"/>
        <family val="0"/>
        <charset val="1"/>
      </rPr>
      <t xml:space="preserve">Premium</t>
    </r>
    <r>
      <rPr>
        <sz val="8.5"/>
        <color rgb="FF000000"/>
        <rFont val="WenQuanYi Zen Hei"/>
        <family val="2"/>
      </rPr>
      <t xml:space="preserve">版は</t>
    </r>
    <r>
      <rPr>
        <sz val="8.5"/>
        <color rgb="FF000000"/>
        <rFont val="Meiryo UI"/>
        <family val="0"/>
        <charset val="1"/>
      </rPr>
      <t xml:space="preserve">541.7</t>
    </r>
    <r>
      <rPr>
        <sz val="8.5"/>
        <color rgb="FF000000"/>
        <rFont val="WenQuanYi Zen Hei"/>
        <family val="2"/>
      </rPr>
      <t xml:space="preserve">万円</t>
    </r>
  </si>
  <si>
    <t xml:space="preserve">bizhub C651i</t>
  </si>
  <si>
    <t xml:space="preserve">bizhub C551i</t>
  </si>
  <si>
    <t xml:space="preserve">bizhub C451i</t>
  </si>
  <si>
    <t xml:space="preserve">※販社公表の定価</t>
  </si>
  <si>
    <t xml:space="preserve">bizhub C361i/C301i</t>
  </si>
  <si>
    <t xml:space="preserve">bizhub C251i</t>
  </si>
  <si>
    <t xml:space="preserve">bizhub C288i</t>
  </si>
  <si>
    <t xml:space="preserve">中小向け新モデル</t>
  </si>
  <si>
    <r>
      <rPr>
        <sz val="9"/>
        <color rgb="FF000000"/>
        <rFont val="Meiryo UI"/>
        <family val="0"/>
        <charset val="1"/>
      </rPr>
      <t xml:space="preserve">bizhub RM</t>
    </r>
    <r>
      <rPr>
        <sz val="9"/>
        <color rgb="FF000000"/>
        <rFont val="WenQuanYi Zen Hei"/>
        <family val="2"/>
      </rPr>
      <t xml:space="preserve">シリーズ</t>
    </r>
  </si>
  <si>
    <t xml:space="preserve">bizhub C450iRM/C360iRM</t>
  </si>
  <si>
    <r>
      <rPr>
        <sz val="9"/>
        <color rgb="FF000000"/>
        <rFont val="Meiryo UI"/>
        <family val="0"/>
        <charset val="1"/>
      </rPr>
      <t xml:space="preserve">A3</t>
    </r>
    <r>
      <rPr>
        <sz val="9"/>
        <color rgb="FF000000"/>
        <rFont val="WenQuanYi Zen Hei"/>
        <family val="2"/>
      </rPr>
      <t xml:space="preserve">カラー再製造</t>
    </r>
  </si>
  <si>
    <t xml:space="preserve">2026/6</t>
  </si>
  <si>
    <r>
      <rPr>
        <sz val="8.5"/>
        <color rgb="FF000000"/>
        <rFont val="WenQuanYi Zen Hei"/>
        <family val="2"/>
      </rPr>
      <t xml:space="preserve">部品再利用率平均</t>
    </r>
    <r>
      <rPr>
        <sz val="8.5"/>
        <color rgb="FF000000"/>
        <rFont val="Meiryo UI"/>
        <family val="0"/>
        <charset val="1"/>
      </rPr>
      <t xml:space="preserve">80%</t>
    </r>
    <r>
      <rPr>
        <sz val="8.5"/>
        <color rgb="FF000000"/>
        <rFont val="WenQuanYi Zen Hei"/>
        <family val="2"/>
      </rPr>
      <t xml:space="preserve">以上の再製造機</t>
    </r>
  </si>
  <si>
    <r>
      <rPr>
        <sz val="9"/>
        <color rgb="FF000000"/>
        <rFont val="Meiryo UI"/>
        <family val="0"/>
        <charset val="1"/>
      </rPr>
      <t xml:space="preserve">bizhub 751i</t>
    </r>
    <r>
      <rPr>
        <sz val="9"/>
        <color rgb="FF000000"/>
        <rFont val="WenQuanYi Zen Hei"/>
        <family val="2"/>
      </rPr>
      <t xml:space="preserve">〜</t>
    </r>
    <r>
      <rPr>
        <sz val="9"/>
        <color rgb="FF000000"/>
        <rFont val="Meiryo UI"/>
        <family val="0"/>
        <charset val="1"/>
      </rPr>
      <t xml:space="preserve">301i</t>
    </r>
  </si>
  <si>
    <r>
      <rPr>
        <sz val="8.5"/>
        <color rgb="FF000000"/>
        <rFont val="Meiryo UI"/>
        <family val="0"/>
        <charset val="1"/>
      </rPr>
      <t xml:space="preserve">6</t>
    </r>
    <r>
      <rPr>
        <sz val="8.5"/>
        <color rgb="FF000000"/>
        <rFont val="WenQuanYi Zen Hei"/>
        <family val="2"/>
      </rPr>
      <t xml:space="preserve">機種（</t>
    </r>
    <r>
      <rPr>
        <sz val="8.5"/>
        <color rgb="FF000000"/>
        <rFont val="Meiryo UI"/>
        <family val="0"/>
        <charset val="1"/>
      </rPr>
      <t xml:space="preserve">75/65/55/45/36/30ppm</t>
    </r>
    <r>
      <rPr>
        <sz val="8.5"/>
        <color rgb="FF000000"/>
        <rFont val="WenQuanYi Zen Hei"/>
        <family val="2"/>
      </rPr>
      <t xml:space="preserve">）</t>
    </r>
  </si>
  <si>
    <t xml:space="preserve">bizhub C4051i</t>
  </si>
  <si>
    <r>
      <rPr>
        <sz val="8.5"/>
        <color rgb="FF000000"/>
        <rFont val="WenQuanYi Zen Hei"/>
        <family val="2"/>
      </rPr>
      <t xml:space="preserve">※実売参考。</t>
    </r>
    <r>
      <rPr>
        <sz val="8.5"/>
        <color rgb="FF000000"/>
        <rFont val="Meiryo UI"/>
        <family val="0"/>
        <charset val="1"/>
      </rPr>
      <t xml:space="preserve">4221i</t>
    </r>
    <r>
      <rPr>
        <sz val="8.5"/>
        <color rgb="FF000000"/>
        <rFont val="WenQuanYi Zen Hei"/>
        <family val="2"/>
      </rPr>
      <t xml:space="preserve">（</t>
    </r>
    <r>
      <rPr>
        <sz val="8.5"/>
        <color rgb="FF000000"/>
        <rFont val="Meiryo UI"/>
        <family val="0"/>
        <charset val="1"/>
      </rPr>
      <t xml:space="preserve">42ppm</t>
    </r>
    <r>
      <rPr>
        <sz val="8.5"/>
        <color rgb="FF000000"/>
        <rFont val="WenQuanYi Zen Hei"/>
        <family val="2"/>
      </rPr>
      <t xml:space="preserve">・</t>
    </r>
    <r>
      <rPr>
        <sz val="8.5"/>
        <color rgb="FF000000"/>
        <rFont val="Meiryo UI"/>
        <family val="0"/>
        <charset val="1"/>
      </rPr>
      <t xml:space="preserve">2025/11</t>
    </r>
    <r>
      <rPr>
        <sz val="8.5"/>
        <color rgb="FF000000"/>
        <rFont val="WenQuanYi Zen Hei"/>
        <family val="2"/>
      </rPr>
      <t xml:space="preserve">）等も展開</t>
    </r>
  </si>
  <si>
    <t xml:space="preserve">メーカー別サマリー（上表から自動集計）</t>
  </si>
  <si>
    <t xml:space="preserve">掲載機種数</t>
  </si>
  <si>
    <t xml:space="preserve">価格判明数</t>
  </si>
  <si>
    <r>
      <rPr>
        <b val="true"/>
        <sz val="10"/>
        <color rgb="FFFFFFFF"/>
        <rFont val="WenQuanYi Zen Hei"/>
        <family val="2"/>
      </rPr>
      <t xml:space="preserve">最低価格</t>
    </r>
    <r>
      <rPr>
        <b val="true"/>
        <sz val="10"/>
        <color rgb="FFFFFFFF"/>
        <rFont val="Meiryo UI"/>
        <family val="0"/>
        <charset val="1"/>
      </rPr>
      <t xml:space="preserve">(</t>
    </r>
    <r>
      <rPr>
        <b val="true"/>
        <sz val="10"/>
        <color rgb="FFFFFFFF"/>
        <rFont val="WenQuanYi Zen Hei"/>
        <family val="2"/>
      </rPr>
      <t xml:space="preserve">万円</t>
    </r>
    <r>
      <rPr>
        <b val="true"/>
        <sz val="10"/>
        <color rgb="FFFFFFFF"/>
        <rFont val="Meiryo UI"/>
        <family val="0"/>
        <charset val="1"/>
      </rPr>
      <t xml:space="preserve">)</t>
    </r>
  </si>
  <si>
    <r>
      <rPr>
        <b val="true"/>
        <sz val="10"/>
        <color rgb="FFFFFFFF"/>
        <rFont val="WenQuanYi Zen Hei"/>
        <family val="2"/>
      </rPr>
      <t xml:space="preserve">最高価格</t>
    </r>
    <r>
      <rPr>
        <b val="true"/>
        <sz val="10"/>
        <color rgb="FFFFFFFF"/>
        <rFont val="Meiryo UI"/>
        <family val="0"/>
        <charset val="1"/>
      </rPr>
      <t xml:space="preserve">(</t>
    </r>
    <r>
      <rPr>
        <b val="true"/>
        <sz val="10"/>
        <color rgb="FFFFFFFF"/>
        <rFont val="WenQuanYi Zen Hei"/>
        <family val="2"/>
      </rPr>
      <t xml:space="preserve">万円</t>
    </r>
    <r>
      <rPr>
        <b val="true"/>
        <sz val="10"/>
        <color rgb="FFFFFFFF"/>
        <rFont val="Meiryo UI"/>
        <family val="0"/>
        <charset val="1"/>
      </rPr>
      <t xml:space="preserve">)</t>
    </r>
  </si>
  <si>
    <r>
      <rPr>
        <b val="true"/>
        <sz val="10"/>
        <color rgb="FFFFFFFF"/>
        <rFont val="WenQuanYi Zen Hei"/>
        <family val="2"/>
      </rPr>
      <t xml:space="preserve">平均価格</t>
    </r>
    <r>
      <rPr>
        <b val="true"/>
        <sz val="10"/>
        <color rgb="FFFFFFFF"/>
        <rFont val="Meiryo UI"/>
        <family val="0"/>
        <charset val="1"/>
      </rPr>
      <t xml:space="preserve">(</t>
    </r>
    <r>
      <rPr>
        <b val="true"/>
        <sz val="10"/>
        <color rgb="FFFFFFFF"/>
        <rFont val="WenQuanYi Zen Hei"/>
        <family val="2"/>
      </rPr>
      <t xml:space="preserve">万円</t>
    </r>
    <r>
      <rPr>
        <b val="true"/>
        <sz val="10"/>
        <color rgb="FFFFFFFF"/>
        <rFont val="Meiryo UI"/>
        <family val="0"/>
        <charset val="1"/>
      </rPr>
      <t xml:space="preserve">)</t>
    </r>
  </si>
  <si>
    <r>
      <rPr>
        <b val="true"/>
        <sz val="9.5"/>
        <color rgb="FF000000"/>
        <rFont val="WenQuanYi Zen Hei"/>
        <family val="2"/>
      </rPr>
      <t xml:space="preserve">富士フイルム</t>
    </r>
    <r>
      <rPr>
        <b val="true"/>
        <sz val="9.5"/>
        <color rgb="FF000000"/>
        <rFont val="Meiryo UI"/>
        <family val="0"/>
        <charset val="1"/>
      </rPr>
      <t xml:space="preserve">BI</t>
    </r>
  </si>
  <si>
    <r>
      <rPr>
        <i val="true"/>
        <sz val="8.5"/>
        <color rgb="FF808080"/>
        <rFont val="WenQuanYi Zen Hei"/>
        <family val="2"/>
      </rPr>
      <t xml:space="preserve">※価格が判明している機種のみの集計。掲載機種は主要機種の抜粋であり全機種網羅ではない。高速機・モノクロ機・</t>
    </r>
    <r>
      <rPr>
        <i val="true"/>
        <sz val="8.5"/>
        <color rgb="FF808080"/>
        <rFont val="Meiryo UI"/>
        <family val="0"/>
        <charset val="1"/>
      </rPr>
      <t xml:space="preserve">A4</t>
    </r>
    <r>
      <rPr>
        <i val="true"/>
        <sz val="8.5"/>
        <color rgb="FF808080"/>
        <rFont val="WenQuanYi Zen Hei"/>
        <family val="2"/>
      </rPr>
      <t xml:space="preserve">機を含むため単純比較には「価格・速度分析」シートを参照。</t>
    </r>
  </si>
  <si>
    <r>
      <rPr>
        <b val="true"/>
        <sz val="14"/>
        <color rgb="FF1F3864"/>
        <rFont val="WenQuanYi Zen Hei"/>
        <family val="2"/>
      </rPr>
      <t xml:space="preserve">速度帯別 価格ポジション分析（</t>
    </r>
    <r>
      <rPr>
        <b val="true"/>
        <sz val="14"/>
        <color rgb="FF1F3864"/>
        <rFont val="Meiryo UI"/>
        <family val="0"/>
        <charset val="1"/>
      </rPr>
      <t xml:space="preserve">A3</t>
    </r>
    <r>
      <rPr>
        <b val="true"/>
        <sz val="14"/>
        <color rgb="FF1F3864"/>
        <rFont val="WenQuanYi Zen Hei"/>
        <family val="2"/>
      </rPr>
      <t xml:space="preserve">カラー現行機）</t>
    </r>
  </si>
  <si>
    <r>
      <rPr>
        <i val="true"/>
        <sz val="8.5"/>
        <color rgb="FF808080"/>
        <rFont val="WenQuanYi Zen Hei"/>
        <family val="2"/>
      </rPr>
      <t xml:space="preserve">各速度帯の代表機種の標準価格（税別・万円）を比較。※＝販売店公表値。空欄＝価格未公表。</t>
    </r>
    <r>
      <rPr>
        <i val="true"/>
        <sz val="8.5"/>
        <color rgb="FF808080"/>
        <rFont val="Meiryo UI"/>
        <family val="0"/>
        <charset val="1"/>
      </rPr>
      <t xml:space="preserve">1ppm</t>
    </r>
    <r>
      <rPr>
        <i val="true"/>
        <sz val="8.5"/>
        <color rgb="FF808080"/>
        <rFont val="WenQuanYi Zen Hei"/>
        <family val="2"/>
      </rPr>
      <t xml:space="preserve">単価＝標準価格</t>
    </r>
    <r>
      <rPr>
        <i val="true"/>
        <sz val="8.5"/>
        <color rgb="FF808080"/>
        <rFont val="Meiryo UI"/>
        <family val="0"/>
        <charset val="1"/>
      </rPr>
      <t xml:space="preserve">÷</t>
    </r>
    <r>
      <rPr>
        <i val="true"/>
        <sz val="8.5"/>
        <color rgb="FF808080"/>
        <rFont val="WenQuanYi Zen Hei"/>
        <family val="2"/>
      </rPr>
      <t xml:space="preserve">速度（数式）。</t>
    </r>
  </si>
  <si>
    <r>
      <rPr>
        <b val="true"/>
        <sz val="11"/>
        <color rgb="FFFFFFFF"/>
        <rFont val="Meiryo UI"/>
        <family val="0"/>
        <charset val="1"/>
      </rPr>
      <t xml:space="preserve">20</t>
    </r>
    <r>
      <rPr>
        <b val="true"/>
        <sz val="11"/>
        <color rgb="FFFFFFFF"/>
        <rFont val="WenQuanYi Zen Hei"/>
        <family val="2"/>
      </rPr>
      <t xml:space="preserve">〜</t>
    </r>
    <r>
      <rPr>
        <b val="true"/>
        <sz val="11"/>
        <color rgb="FFFFFFFF"/>
        <rFont val="Meiryo UI"/>
        <family val="0"/>
        <charset val="1"/>
      </rPr>
      <t xml:space="preserve">30ppm</t>
    </r>
    <r>
      <rPr>
        <b val="true"/>
        <sz val="11"/>
        <color rgb="FFFFFFFF"/>
        <rFont val="WenQuanYi Zen Hei"/>
        <family val="2"/>
      </rPr>
      <t xml:space="preserve">帯（エントリー）</t>
    </r>
  </si>
  <si>
    <t xml:space="preserve">代表機種</t>
  </si>
  <si>
    <t xml:space="preserve">iR-ADV DX C3926F</t>
  </si>
  <si>
    <t xml:space="preserve">IM C2511</t>
  </si>
  <si>
    <t xml:space="preserve">BP-61C26</t>
  </si>
  <si>
    <r>
      <rPr>
        <b val="true"/>
        <sz val="9"/>
        <color rgb="FF000000"/>
        <rFont val="WenQuanYi Zen Hei"/>
        <family val="2"/>
      </rPr>
      <t xml:space="preserve">速度（</t>
    </r>
    <r>
      <rPr>
        <b val="true"/>
        <sz val="9"/>
        <color rgb="FF000000"/>
        <rFont val="Meiryo UI"/>
        <family val="0"/>
        <charset val="1"/>
      </rPr>
      <t xml:space="preserve">ppm</t>
    </r>
    <r>
      <rPr>
        <b val="true"/>
        <sz val="9"/>
        <color rgb="FF000000"/>
        <rFont val="WenQuanYi Zen Hei"/>
        <family val="2"/>
      </rPr>
      <t xml:space="preserve">）</t>
    </r>
  </si>
  <si>
    <t xml:space="preserve">標準価格（万円・税別）</t>
  </si>
  <si>
    <r>
      <rPr>
        <b val="true"/>
        <sz val="9"/>
        <color rgb="FF000000"/>
        <rFont val="Meiryo UI"/>
        <family val="0"/>
        <charset val="1"/>
      </rPr>
      <t xml:space="preserve">1ppm</t>
    </r>
    <r>
      <rPr>
        <b val="true"/>
        <sz val="9"/>
        <color rgb="FF000000"/>
        <rFont val="WenQuanYi Zen Hei"/>
        <family val="2"/>
      </rPr>
      <t xml:space="preserve">当たり価格（万円）</t>
    </r>
  </si>
  <si>
    <r>
      <rPr>
        <b val="true"/>
        <sz val="11"/>
        <color rgb="FFFFFFFF"/>
        <rFont val="Meiryo UI"/>
        <family val="0"/>
        <charset val="1"/>
      </rPr>
      <t xml:space="preserve">40</t>
    </r>
    <r>
      <rPr>
        <b val="true"/>
        <sz val="11"/>
        <color rgb="FFFFFFFF"/>
        <rFont val="WenQuanYi Zen Hei"/>
        <family val="2"/>
      </rPr>
      <t xml:space="preserve">〜</t>
    </r>
    <r>
      <rPr>
        <b val="true"/>
        <sz val="11"/>
        <color rgb="FFFFFFFF"/>
        <rFont val="Meiryo UI"/>
        <family val="0"/>
        <charset val="1"/>
      </rPr>
      <t xml:space="preserve">50ppm</t>
    </r>
    <r>
      <rPr>
        <b val="true"/>
        <sz val="11"/>
        <color rgb="FFFFFFFF"/>
        <rFont val="WenQuanYi Zen Hei"/>
        <family val="2"/>
      </rPr>
      <t xml:space="preserve">帯（ボリュームゾーン）</t>
    </r>
  </si>
  <si>
    <t xml:space="preserve">IM C4511</t>
  </si>
  <si>
    <r>
      <rPr>
        <b val="true"/>
        <sz val="11"/>
        <color rgb="FFFFFFFF"/>
        <rFont val="Meiryo UI"/>
        <family val="0"/>
        <charset val="1"/>
      </rPr>
      <t xml:space="preserve">55</t>
    </r>
    <r>
      <rPr>
        <b val="true"/>
        <sz val="11"/>
        <color rgb="FFFFFFFF"/>
        <rFont val="WenQuanYi Zen Hei"/>
        <family val="2"/>
      </rPr>
      <t xml:space="preserve">〜</t>
    </r>
    <r>
      <rPr>
        <b val="true"/>
        <sz val="11"/>
        <color rgb="FFFFFFFF"/>
        <rFont val="Meiryo UI"/>
        <family val="0"/>
        <charset val="1"/>
      </rPr>
      <t xml:space="preserve">65ppm</t>
    </r>
    <r>
      <rPr>
        <b val="true"/>
        <sz val="11"/>
        <color rgb="FFFFFFFF"/>
        <rFont val="WenQuanYi Zen Hei"/>
        <family val="2"/>
      </rPr>
      <t xml:space="preserve">帯（中高速）</t>
    </r>
  </si>
  <si>
    <t xml:space="preserve">IM C6011</t>
  </si>
  <si>
    <r>
      <rPr>
        <b val="true"/>
        <sz val="11"/>
        <color rgb="FFFFFFFF"/>
        <rFont val="Meiryo UI"/>
        <family val="0"/>
        <charset val="1"/>
      </rPr>
      <t xml:space="preserve">70ppm</t>
    </r>
    <r>
      <rPr>
        <b val="true"/>
        <sz val="11"/>
        <color rgb="FFFFFFFF"/>
        <rFont val="WenQuanYi Zen Hei"/>
        <family val="2"/>
      </rPr>
      <t xml:space="preserve">以上（高速）</t>
    </r>
  </si>
  <si>
    <t xml:space="preserve">IM C7010</t>
  </si>
  <si>
    <r>
      <rPr>
        <sz val="9"/>
        <color rgb="FF000000"/>
        <rFont val="WenQuanYi Zen Hei"/>
        <family val="2"/>
      </rPr>
      <t xml:space="preserve">―（</t>
    </r>
    <r>
      <rPr>
        <sz val="9"/>
        <color rgb="FF000000"/>
        <rFont val="Meiryo UI"/>
        <family val="0"/>
        <charset val="1"/>
      </rPr>
      <t xml:space="preserve">65ppm</t>
    </r>
    <r>
      <rPr>
        <sz val="9"/>
        <color rgb="FF000000"/>
        <rFont val="WenQuanYi Zen Hei"/>
        <family val="2"/>
      </rPr>
      <t xml:space="preserve">まで）</t>
    </r>
  </si>
  <si>
    <t xml:space="preserve">保守・ランニングコスト（カウンター料金）の相場感</t>
  </si>
  <si>
    <r>
      <rPr>
        <b val="true"/>
        <sz val="10"/>
        <color rgb="FFFFFFFF"/>
        <rFont val="WenQuanYi Zen Hei"/>
        <family val="2"/>
      </rPr>
      <t xml:space="preserve">カラー単価</t>
    </r>
    <r>
      <rPr>
        <b val="true"/>
        <sz val="10"/>
        <color rgb="FFFFFFFF"/>
        <rFont val="Meiryo UI"/>
        <family val="0"/>
        <charset val="1"/>
      </rPr>
      <t xml:space="preserve">/</t>
    </r>
    <r>
      <rPr>
        <b val="true"/>
        <sz val="10"/>
        <color rgb="FFFFFFFF"/>
        <rFont val="WenQuanYi Zen Hei"/>
        <family val="2"/>
      </rPr>
      <t xml:space="preserve">枚</t>
    </r>
  </si>
  <si>
    <r>
      <rPr>
        <b val="true"/>
        <sz val="10"/>
        <color rgb="FFFFFFFF"/>
        <rFont val="WenQuanYi Zen Hei"/>
        <family val="2"/>
      </rPr>
      <t xml:space="preserve">モノクロ単価</t>
    </r>
    <r>
      <rPr>
        <b val="true"/>
        <sz val="10"/>
        <color rgb="FFFFFFFF"/>
        <rFont val="Meiryo UI"/>
        <family val="0"/>
        <charset val="1"/>
      </rPr>
      <t xml:space="preserve">/</t>
    </r>
    <r>
      <rPr>
        <b val="true"/>
        <sz val="10"/>
        <color rgb="FFFFFFFF"/>
        <rFont val="WenQuanYi Zen Hei"/>
        <family val="2"/>
      </rPr>
      <t xml:space="preserve">枚</t>
    </r>
  </si>
  <si>
    <r>
      <rPr>
        <sz val="9"/>
        <color rgb="FF000000"/>
        <rFont val="Meiryo UI"/>
        <family val="0"/>
        <charset val="1"/>
      </rPr>
      <t xml:space="preserve">8</t>
    </r>
    <r>
      <rPr>
        <sz val="9"/>
        <color rgb="FF000000"/>
        <rFont val="WenQuanYi Zen Hei"/>
        <family val="2"/>
      </rPr>
      <t xml:space="preserve">円〜</t>
    </r>
  </si>
  <si>
    <r>
      <rPr>
        <sz val="9"/>
        <color rgb="FF000000"/>
        <rFont val="Meiryo UI"/>
        <family val="0"/>
        <charset val="1"/>
      </rPr>
      <t xml:space="preserve">0.8</t>
    </r>
    <r>
      <rPr>
        <sz val="9"/>
        <color rgb="FF000000"/>
        <rFont val="WenQuanYi Zen Hei"/>
        <family val="2"/>
      </rPr>
      <t xml:space="preserve">円〜</t>
    </r>
  </si>
  <si>
    <r>
      <rPr>
        <sz val="9"/>
        <color rgb="FF000000"/>
        <rFont val="WenQuanYi Zen Hei"/>
        <family val="2"/>
      </rPr>
      <t xml:space="preserve">販社公表の相場。</t>
    </r>
    <r>
      <rPr>
        <sz val="9"/>
        <color rgb="FF000000"/>
        <rFont val="Meiryo UI"/>
        <family val="0"/>
        <charset val="1"/>
      </rPr>
      <t xml:space="preserve">5</t>
    </r>
    <r>
      <rPr>
        <sz val="9"/>
        <color rgb="FF000000"/>
        <rFont val="WenQuanYi Zen Hei"/>
        <family val="2"/>
      </rPr>
      <t xml:space="preserve">社中で低め水準の訴求</t>
    </r>
  </si>
  <si>
    <r>
      <rPr>
        <sz val="9"/>
        <color rgb="FF000000"/>
        <rFont val="Meiryo UI"/>
        <family val="0"/>
        <charset val="1"/>
      </rPr>
      <t xml:space="preserve">12</t>
    </r>
    <r>
      <rPr>
        <sz val="9"/>
        <color rgb="FF000000"/>
        <rFont val="WenQuanYi Zen Hei"/>
        <family val="2"/>
      </rPr>
      <t xml:space="preserve">円前後</t>
    </r>
  </si>
  <si>
    <r>
      <rPr>
        <sz val="9"/>
        <color rgb="FF000000"/>
        <rFont val="Meiryo UI"/>
        <family val="0"/>
        <charset val="1"/>
      </rPr>
      <t xml:space="preserve">1.2</t>
    </r>
    <r>
      <rPr>
        <sz val="9"/>
        <color rgb="FF000000"/>
        <rFont val="WenQuanYi Zen Hei"/>
        <family val="2"/>
      </rPr>
      <t xml:space="preserve">円前後</t>
    </r>
  </si>
  <si>
    <t xml:space="preserve">販社公表の相場</t>
  </si>
  <si>
    <r>
      <rPr>
        <b val="true"/>
        <sz val="9"/>
        <color rgb="FF000000"/>
        <rFont val="WenQuanYi Zen Hei"/>
        <family val="2"/>
      </rPr>
      <t xml:space="preserve">富士フイルム</t>
    </r>
    <r>
      <rPr>
        <b val="true"/>
        <sz val="9"/>
        <color rgb="FF000000"/>
        <rFont val="Meiryo UI"/>
        <family val="0"/>
        <charset val="1"/>
      </rPr>
      <t xml:space="preserve">BI</t>
    </r>
    <r>
      <rPr>
        <b val="true"/>
        <sz val="9"/>
        <color rgb="FF000000"/>
        <rFont val="WenQuanYi Zen Hei"/>
        <family val="2"/>
      </rPr>
      <t xml:space="preserve">／キヤノン／リコー</t>
    </r>
  </si>
  <si>
    <t xml:space="preserve">個別見積</t>
  </si>
  <si>
    <t xml:space="preserve">公表相場なし。一般に商談・台数条件で決定</t>
  </si>
  <si>
    <t xml:space="preserve">※カウンター料金は市場相場（販社系メディア公表値）であり、実際は機種・印刷量・契約条件で大きく変動。総保有コスト比較では本体価格とともに必ず個別見積で確認のこと。</t>
  </si>
  <si>
    <t xml:space="preserve">速度帯別 標準価格サマリー（上表から自動参照・グラフ用）</t>
  </si>
  <si>
    <t xml:space="preserve">速度帯</t>
  </si>
  <si>
    <r>
      <rPr>
        <b val="true"/>
        <sz val="9"/>
        <color rgb="FF000000"/>
        <rFont val="Meiryo UI"/>
        <family val="0"/>
        <charset val="1"/>
      </rPr>
      <t xml:space="preserve">20</t>
    </r>
    <r>
      <rPr>
        <b val="true"/>
        <sz val="9"/>
        <color rgb="FF000000"/>
        <rFont val="WenQuanYi Zen Hei"/>
        <family val="2"/>
      </rPr>
      <t xml:space="preserve">〜</t>
    </r>
    <r>
      <rPr>
        <b val="true"/>
        <sz val="9"/>
        <color rgb="FF000000"/>
        <rFont val="Meiryo UI"/>
        <family val="0"/>
        <charset val="1"/>
      </rPr>
      <t xml:space="preserve">30ppm</t>
    </r>
    <r>
      <rPr>
        <b val="true"/>
        <sz val="9"/>
        <color rgb="FF000000"/>
        <rFont val="WenQuanYi Zen Hei"/>
        <family val="2"/>
      </rPr>
      <t xml:space="preserve">帯</t>
    </r>
  </si>
  <si>
    <r>
      <rPr>
        <b val="true"/>
        <sz val="9"/>
        <color rgb="FF000000"/>
        <rFont val="Meiryo UI"/>
        <family val="0"/>
        <charset val="1"/>
      </rPr>
      <t xml:space="preserve">40</t>
    </r>
    <r>
      <rPr>
        <b val="true"/>
        <sz val="9"/>
        <color rgb="FF000000"/>
        <rFont val="WenQuanYi Zen Hei"/>
        <family val="2"/>
      </rPr>
      <t xml:space="preserve">〜</t>
    </r>
    <r>
      <rPr>
        <b val="true"/>
        <sz val="9"/>
        <color rgb="FF000000"/>
        <rFont val="Meiryo UI"/>
        <family val="0"/>
        <charset val="1"/>
      </rPr>
      <t xml:space="preserve">50ppm</t>
    </r>
    <r>
      <rPr>
        <b val="true"/>
        <sz val="9"/>
        <color rgb="FF000000"/>
        <rFont val="WenQuanYi Zen Hei"/>
        <family val="2"/>
      </rPr>
      <t xml:space="preserve">帯</t>
    </r>
  </si>
  <si>
    <r>
      <rPr>
        <b val="true"/>
        <sz val="9"/>
        <color rgb="FF000000"/>
        <rFont val="Meiryo UI"/>
        <family val="0"/>
        <charset val="1"/>
      </rPr>
      <t xml:space="preserve">55</t>
    </r>
    <r>
      <rPr>
        <b val="true"/>
        <sz val="9"/>
        <color rgb="FF000000"/>
        <rFont val="WenQuanYi Zen Hei"/>
        <family val="2"/>
      </rPr>
      <t xml:space="preserve">〜</t>
    </r>
    <r>
      <rPr>
        <b val="true"/>
        <sz val="9"/>
        <color rgb="FF000000"/>
        <rFont val="Meiryo UI"/>
        <family val="0"/>
        <charset val="1"/>
      </rPr>
      <t xml:space="preserve">65ppm</t>
    </r>
    <r>
      <rPr>
        <b val="true"/>
        <sz val="9"/>
        <color rgb="FF000000"/>
        <rFont val="WenQuanYi Zen Hei"/>
        <family val="2"/>
      </rPr>
      <t xml:space="preserve">帯</t>
    </r>
  </si>
  <si>
    <r>
      <rPr>
        <b val="true"/>
        <sz val="9"/>
        <color rgb="FF000000"/>
        <rFont val="Meiryo UI"/>
        <family val="0"/>
        <charset val="1"/>
      </rPr>
      <t xml:space="preserve">70ppm</t>
    </r>
    <r>
      <rPr>
        <b val="true"/>
        <sz val="9"/>
        <color rgb="FF000000"/>
        <rFont val="WenQuanYi Zen Hei"/>
        <family val="2"/>
      </rPr>
      <t xml:space="preserve">以上</t>
    </r>
  </si>
  <si>
    <r>
      <rPr>
        <i val="true"/>
        <sz val="8.5"/>
        <color rgb="FF808080"/>
        <rFont val="Meiryo UI"/>
        <family val="0"/>
        <charset val="1"/>
      </rPr>
      <t xml:space="preserve">※0.0</t>
    </r>
    <r>
      <rPr>
        <i val="true"/>
        <sz val="8.5"/>
        <color rgb="FF808080"/>
        <rFont val="WenQuanYi Zen Hei"/>
        <family val="2"/>
      </rPr>
      <t xml:space="preserve">表示は価格未公表（元表の空欄）を意味する。</t>
    </r>
  </si>
  <si>
    <r>
      <rPr>
        <b val="true"/>
        <sz val="14"/>
        <color rgb="FF1F3864"/>
        <rFont val="WenQuanYi Zen Hei"/>
        <family val="2"/>
      </rPr>
      <t xml:space="preserve">機能・サービス スコアリング（</t>
    </r>
    <r>
      <rPr>
        <b val="true"/>
        <sz val="14"/>
        <color rgb="FF1F3864"/>
        <rFont val="Meiryo UI"/>
        <family val="0"/>
        <charset val="1"/>
      </rPr>
      <t xml:space="preserve">5</t>
    </r>
    <r>
      <rPr>
        <b val="true"/>
        <sz val="14"/>
        <color rgb="FF1F3864"/>
        <rFont val="WenQuanYi Zen Hei"/>
        <family val="2"/>
      </rPr>
      <t xml:space="preserve">段階の定性評価）</t>
    </r>
  </si>
  <si>
    <r>
      <rPr>
        <i val="true"/>
        <sz val="8.5"/>
        <color rgb="FF808080"/>
        <rFont val="Meiryo UI"/>
        <family val="0"/>
        <charset val="1"/>
      </rPr>
      <t xml:space="preserve">5</t>
    </r>
    <r>
      <rPr>
        <i val="true"/>
        <sz val="8.5"/>
        <color rgb="FF808080"/>
        <rFont val="WenQuanYi Zen Hei"/>
        <family val="2"/>
      </rPr>
      <t xml:space="preserve">＝業界トップ水準、</t>
    </r>
    <r>
      <rPr>
        <i val="true"/>
        <sz val="8.5"/>
        <color rgb="FF808080"/>
        <rFont val="Meiryo UI"/>
        <family val="0"/>
        <charset val="1"/>
      </rPr>
      <t xml:space="preserve">3</t>
    </r>
    <r>
      <rPr>
        <i val="true"/>
        <sz val="8.5"/>
        <color rgb="FF808080"/>
        <rFont val="WenQuanYi Zen Hei"/>
        <family val="2"/>
      </rPr>
      <t xml:space="preserve">＝業界標準、</t>
    </r>
    <r>
      <rPr>
        <i val="true"/>
        <sz val="8.5"/>
        <color rgb="FF808080"/>
        <rFont val="Meiryo UI"/>
        <family val="0"/>
        <charset val="1"/>
      </rPr>
      <t xml:space="preserve">1</t>
    </r>
    <r>
      <rPr>
        <i val="true"/>
        <sz val="8.5"/>
        <color rgb="FF808080"/>
        <rFont val="WenQuanYi Zen Hei"/>
        <family val="2"/>
      </rPr>
      <t xml:space="preserve">＝見劣り。公開情報に基づく当社の定性評価であり、絶対値ではなく相対比較の目安。</t>
    </r>
  </si>
  <si>
    <t xml:space="preserve">評価軸</t>
  </si>
  <si>
    <t xml:space="preserve">評価根拠（要旨）</t>
  </si>
  <si>
    <t xml:space="preserve">製品ラインナップの幅</t>
  </si>
  <si>
    <r>
      <rPr>
        <sz val="8.5"/>
        <color rgb="FF000000"/>
        <rFont val="Meiryo UI"/>
        <family val="0"/>
        <charset val="1"/>
      </rPr>
      <t xml:space="preserve">FFBI</t>
    </r>
    <r>
      <rPr>
        <sz val="8.5"/>
        <color rgb="FF000000"/>
        <rFont val="WenQuanYi Zen Hei"/>
        <family val="2"/>
      </rPr>
      <t xml:space="preserve">・キヤノン・リコーは</t>
    </r>
    <r>
      <rPr>
        <sz val="8.5"/>
        <color rgb="FF000000"/>
        <rFont val="Meiryo UI"/>
        <family val="0"/>
        <charset val="1"/>
      </rPr>
      <t xml:space="preserve">20</t>
    </r>
    <r>
      <rPr>
        <sz val="8.5"/>
        <color rgb="FF000000"/>
        <rFont val="WenQuanYi Zen Hei"/>
        <family val="2"/>
      </rPr>
      <t xml:space="preserve">〜</t>
    </r>
    <r>
      <rPr>
        <sz val="8.5"/>
        <color rgb="FF000000"/>
        <rFont val="Meiryo UI"/>
        <family val="0"/>
        <charset val="1"/>
      </rPr>
      <t xml:space="preserve">80ppm</t>
    </r>
    <r>
      <rPr>
        <sz val="8.5"/>
        <color rgb="FF000000"/>
        <rFont val="WenQuanYi Zen Hei"/>
        <family val="2"/>
      </rPr>
      <t xml:space="preserve">級</t>
    </r>
    <r>
      <rPr>
        <sz val="8.5"/>
        <color rgb="FF000000"/>
        <rFont val="Meiryo UI"/>
        <family val="0"/>
        <charset val="1"/>
      </rPr>
      <t xml:space="preserve">+</t>
    </r>
    <r>
      <rPr>
        <sz val="8.5"/>
        <color rgb="FF000000"/>
        <rFont val="WenQuanYi Zen Hei"/>
        <family val="2"/>
      </rPr>
      <t xml:space="preserve">モノクロ高速まで網羅。シャープは</t>
    </r>
    <r>
      <rPr>
        <sz val="8.5"/>
        <color rgb="FF000000"/>
        <rFont val="Meiryo UI"/>
        <family val="0"/>
        <charset val="1"/>
      </rPr>
      <t xml:space="preserve">65ppm</t>
    </r>
    <r>
      <rPr>
        <sz val="8.5"/>
        <color rgb="FF000000"/>
        <rFont val="WenQuanYi Zen Hei"/>
        <family val="2"/>
      </rPr>
      <t xml:space="preserve">上限（カラー）</t>
    </r>
  </si>
  <si>
    <t xml:space="preserve">価格競争力（標準価格）</t>
  </si>
  <si>
    <r>
      <rPr>
        <sz val="8.5"/>
        <color rgb="FF000000"/>
        <rFont val="WenQuanYi Zen Hei"/>
        <family val="2"/>
      </rPr>
      <t xml:space="preserve">同帯比較でリコー（</t>
    </r>
    <r>
      <rPr>
        <sz val="8.5"/>
        <color rgb="FF000000"/>
        <rFont val="Meiryo UI"/>
        <family val="0"/>
        <charset val="1"/>
      </rPr>
      <t xml:space="preserve">IM C2011 119</t>
    </r>
    <r>
      <rPr>
        <sz val="8.5"/>
        <color rgb="FF000000"/>
        <rFont val="WenQuanYi Zen Hei"/>
        <family val="2"/>
      </rPr>
      <t xml:space="preserve">万円）・シャープ（</t>
    </r>
    <r>
      <rPr>
        <sz val="8.5"/>
        <color rgb="FF000000"/>
        <rFont val="Meiryo UI"/>
        <family val="0"/>
        <charset val="1"/>
      </rPr>
      <t xml:space="preserve">120</t>
    </r>
    <r>
      <rPr>
        <sz val="8.5"/>
        <color rgb="FF000000"/>
        <rFont val="WenQuanYi Zen Hei"/>
        <family val="2"/>
      </rPr>
      <t xml:space="preserve">〜</t>
    </r>
    <r>
      <rPr>
        <sz val="8.5"/>
        <color rgb="FF000000"/>
        <rFont val="Meiryo UI"/>
        <family val="0"/>
        <charset val="1"/>
      </rPr>
      <t xml:space="preserve">291</t>
    </r>
    <r>
      <rPr>
        <sz val="8.5"/>
        <color rgb="FF000000"/>
        <rFont val="WenQuanYi Zen Hei"/>
        <family val="2"/>
      </rPr>
      <t xml:space="preserve">万円）が下値。</t>
    </r>
    <r>
      <rPr>
        <sz val="8.5"/>
        <color rgb="FF000000"/>
        <rFont val="Meiryo UI"/>
        <family val="0"/>
        <charset val="1"/>
      </rPr>
      <t xml:space="preserve">FFBI</t>
    </r>
    <r>
      <rPr>
        <sz val="8.5"/>
        <color rgb="FF000000"/>
        <rFont val="WenQuanYi Zen Hei"/>
        <family val="2"/>
      </rPr>
      <t xml:space="preserve">・キヤノンは高価格帯</t>
    </r>
  </si>
  <si>
    <r>
      <rPr>
        <b val="true"/>
        <sz val="9.5"/>
        <color rgb="FF000000"/>
        <rFont val="WenQuanYi Zen Hei"/>
        <family val="2"/>
      </rPr>
      <t xml:space="preserve">クラウド・</t>
    </r>
    <r>
      <rPr>
        <b val="true"/>
        <sz val="9.5"/>
        <color rgb="FF000000"/>
        <rFont val="Meiryo UI"/>
        <family val="0"/>
        <charset val="1"/>
      </rPr>
      <t xml:space="preserve">DX</t>
    </r>
    <r>
      <rPr>
        <b val="true"/>
        <sz val="9.5"/>
        <color rgb="FF000000"/>
        <rFont val="WenQuanYi Zen Hei"/>
        <family val="2"/>
      </rPr>
      <t xml:space="preserve">連携</t>
    </r>
  </si>
  <si>
    <r>
      <rPr>
        <sz val="8.5"/>
        <color rgb="FF000000"/>
        <rFont val="Meiryo UI"/>
        <family val="0"/>
        <charset val="1"/>
      </rPr>
      <t xml:space="preserve">FFBI</t>
    </r>
    <r>
      <rPr>
        <sz val="8.5"/>
        <color rgb="FF000000"/>
        <rFont val="WenQuanYi Zen Hei"/>
        <family val="2"/>
      </rPr>
      <t xml:space="preserve">（</t>
    </r>
    <r>
      <rPr>
        <sz val="8.5"/>
        <color rgb="FF000000"/>
        <rFont val="Meiryo UI"/>
        <family val="0"/>
        <charset val="1"/>
      </rPr>
      <t xml:space="preserve">IWpro+Cloud Service Hub</t>
    </r>
    <r>
      <rPr>
        <sz val="8.5"/>
        <color rgb="FF000000"/>
        <rFont val="WenQuanYi Zen Hei"/>
        <family val="2"/>
      </rPr>
      <t xml:space="preserve">）とリコー（</t>
    </r>
    <r>
      <rPr>
        <sz val="8.5"/>
        <color rgb="FF000000"/>
        <rFont val="Meiryo UI"/>
        <family val="0"/>
        <charset val="1"/>
      </rPr>
      <t xml:space="preserve">RSI+kintone plus</t>
    </r>
    <r>
      <rPr>
        <sz val="8.5"/>
        <color rgb="FF000000"/>
        <rFont val="WenQuanYi Zen Hei"/>
        <family val="2"/>
      </rPr>
      <t xml:space="preserve">）が層厚い。シャープは</t>
    </r>
    <r>
      <rPr>
        <sz val="8.5"/>
        <color rgb="FF000000"/>
        <rFont val="Meiryo UI"/>
        <family val="0"/>
        <charset val="1"/>
      </rPr>
      <t xml:space="preserve">Entra ID</t>
    </r>
    <r>
      <rPr>
        <sz val="8.5"/>
        <color rgb="FF000000"/>
        <rFont val="WenQuanYi Zen Hei"/>
        <family val="2"/>
      </rPr>
      <t xml:space="preserve">対応で追い上げ</t>
    </r>
  </si>
  <si>
    <r>
      <rPr>
        <b val="true"/>
        <sz val="9.5"/>
        <color rgb="FF000000"/>
        <rFont val="Meiryo UI"/>
        <family val="0"/>
        <charset val="1"/>
      </rPr>
      <t xml:space="preserve">AI</t>
    </r>
    <r>
      <rPr>
        <b val="true"/>
        <sz val="9.5"/>
        <color rgb="FF000000"/>
        <rFont val="WenQuanYi Zen Hei"/>
        <family val="2"/>
      </rPr>
      <t xml:space="preserve">活用</t>
    </r>
  </si>
  <si>
    <r>
      <rPr>
        <sz val="8.5"/>
        <color rgb="FF000000"/>
        <rFont val="WenQuanYi Zen Hei"/>
        <family val="2"/>
      </rPr>
      <t xml:space="preserve">各社各様に実装（保守</t>
    </r>
    <r>
      <rPr>
        <sz val="8.5"/>
        <color rgb="FF000000"/>
        <rFont val="Meiryo UI"/>
        <family val="0"/>
        <charset val="1"/>
      </rPr>
      <t xml:space="preserve">AI/</t>
    </r>
    <r>
      <rPr>
        <sz val="8.5"/>
        <color rgb="FF000000"/>
        <rFont val="WenQuanYi Zen Hei"/>
        <family val="2"/>
      </rPr>
      <t xml:space="preserve">セキュリティ</t>
    </r>
    <r>
      <rPr>
        <sz val="8.5"/>
        <color rgb="FF000000"/>
        <rFont val="Meiryo UI"/>
        <family val="0"/>
        <charset val="1"/>
      </rPr>
      <t xml:space="preserve">AI/</t>
    </r>
    <r>
      <rPr>
        <sz val="8.5"/>
        <color rgb="FF000000"/>
        <rFont val="WenQuanYi Zen Hei"/>
        <family val="2"/>
      </rPr>
      <t xml:space="preserve">画像</t>
    </r>
    <r>
      <rPr>
        <sz val="8.5"/>
        <color rgb="FF000000"/>
        <rFont val="Meiryo UI"/>
        <family val="0"/>
        <charset val="1"/>
      </rPr>
      <t xml:space="preserve">AI/</t>
    </r>
    <r>
      <rPr>
        <sz val="8.5"/>
        <color rgb="FF000000"/>
        <rFont val="WenQuanYi Zen Hei"/>
        <family val="2"/>
      </rPr>
      <t xml:space="preserve">生成</t>
    </r>
    <r>
      <rPr>
        <sz val="8.5"/>
        <color rgb="FF000000"/>
        <rFont val="Meiryo UI"/>
        <family val="0"/>
        <charset val="1"/>
      </rPr>
      <t xml:space="preserve">AI</t>
    </r>
    <r>
      <rPr>
        <sz val="8.5"/>
        <color rgb="FF000000"/>
        <rFont val="WenQuanYi Zen Hei"/>
        <family val="2"/>
      </rPr>
      <t xml:space="preserve">ガイド）。コニカミノルタは本体</t>
    </r>
    <r>
      <rPr>
        <sz val="8.5"/>
        <color rgb="FF000000"/>
        <rFont val="Meiryo UI"/>
        <family val="0"/>
        <charset val="1"/>
      </rPr>
      <t xml:space="preserve">AI</t>
    </r>
    <r>
      <rPr>
        <sz val="8.5"/>
        <color rgb="FF000000"/>
        <rFont val="WenQuanYi Zen Hei"/>
        <family val="2"/>
      </rPr>
      <t xml:space="preserve">訴求が確認できず</t>
    </r>
  </si>
  <si>
    <r>
      <rPr>
        <sz val="8.5"/>
        <color rgb="FF000000"/>
        <rFont val="WenQuanYi Zen Hei"/>
        <family val="2"/>
      </rPr>
      <t xml:space="preserve">コニカミノルタは本体ウイルススキャン標準搭載で一歩先行。他社もゼロトラスト・</t>
    </r>
    <r>
      <rPr>
        <sz val="8.5"/>
        <color rgb="FF000000"/>
        <rFont val="Meiryo UI"/>
        <family val="0"/>
        <charset val="1"/>
      </rPr>
      <t xml:space="preserve">UTM</t>
    </r>
    <r>
      <rPr>
        <sz val="8.5"/>
        <color rgb="FF000000"/>
        <rFont val="WenQuanYi Zen Hei"/>
        <family val="2"/>
      </rPr>
      <t xml:space="preserve">等で高水準</t>
    </r>
  </si>
  <si>
    <r>
      <rPr>
        <sz val="8.5"/>
        <color rgb="FF000000"/>
        <rFont val="WenQuanYi Zen Hei"/>
        <family val="2"/>
      </rPr>
      <t xml:space="preserve">リコー</t>
    </r>
    <r>
      <rPr>
        <sz val="8.5"/>
        <color rgb="FF000000"/>
        <rFont val="Meiryo UI"/>
        <family val="0"/>
        <charset val="1"/>
      </rPr>
      <t xml:space="preserve">424</t>
    </r>
    <r>
      <rPr>
        <sz val="8.5"/>
        <color rgb="FF000000"/>
        <rFont val="WenQuanYi Zen Hei"/>
        <family val="2"/>
      </rPr>
      <t xml:space="preserve">拠点・</t>
    </r>
    <r>
      <rPr>
        <sz val="8.5"/>
        <color rgb="FF000000"/>
        <rFont val="Meiryo UI"/>
        <family val="0"/>
        <charset val="1"/>
      </rPr>
      <t xml:space="preserve">CE4,400</t>
    </r>
    <r>
      <rPr>
        <sz val="8.5"/>
        <color rgb="FF000000"/>
        <rFont val="WenQuanYi Zen Hei"/>
        <family val="2"/>
      </rPr>
      <t xml:space="preserve">名、</t>
    </r>
    <r>
      <rPr>
        <sz val="8.5"/>
        <color rgb="FF000000"/>
        <rFont val="Meiryo UI"/>
        <family val="0"/>
        <charset val="1"/>
      </rPr>
      <t xml:space="preserve">FFBI</t>
    </r>
    <r>
      <rPr>
        <sz val="8.5"/>
        <color rgb="FF000000"/>
        <rFont val="WenQuanYi Zen Hei"/>
        <family val="2"/>
      </rPr>
      <t xml:space="preserve">約</t>
    </r>
    <r>
      <rPr>
        <sz val="8.5"/>
        <color rgb="FF000000"/>
        <rFont val="Meiryo UI"/>
        <family val="0"/>
        <charset val="1"/>
      </rPr>
      <t xml:space="preserve">300</t>
    </r>
    <r>
      <rPr>
        <sz val="8.5"/>
        <color rgb="FF000000"/>
        <rFont val="WenQuanYi Zen Hei"/>
        <family val="2"/>
      </rPr>
      <t xml:space="preserve">拠点。シャープ</t>
    </r>
    <r>
      <rPr>
        <sz val="8.5"/>
        <color rgb="FF000000"/>
        <rFont val="Meiryo UI"/>
        <family val="0"/>
        <charset val="1"/>
      </rPr>
      <t xml:space="preserve">108</t>
    </r>
    <r>
      <rPr>
        <sz val="8.5"/>
        <color rgb="FF000000"/>
        <rFont val="WenQuanYi Zen Hei"/>
        <family val="2"/>
      </rPr>
      <t xml:space="preserve">拠点、コニカミノルタは拠点数で見劣りとの評価</t>
    </r>
  </si>
  <si>
    <t xml:space="preserve">環境・再生機</t>
  </si>
  <si>
    <r>
      <rPr>
        <sz val="8.5"/>
        <color rgb="FF000000"/>
        <rFont val="WenQuanYi Zen Hei"/>
        <family val="2"/>
      </rPr>
      <t xml:space="preserve">キヤノン（リユース率</t>
    </r>
    <r>
      <rPr>
        <sz val="8.5"/>
        <color rgb="FF000000"/>
        <rFont val="Meiryo UI"/>
        <family val="0"/>
        <charset val="1"/>
      </rPr>
      <t xml:space="preserve">90%</t>
    </r>
    <r>
      <rPr>
        <sz val="8.5"/>
        <color rgb="FF000000"/>
        <rFont val="WenQuanYi Zen Hei"/>
        <family val="2"/>
      </rPr>
      <t xml:space="preserve">超・</t>
    </r>
    <r>
      <rPr>
        <sz val="8.5"/>
        <color rgb="FF000000"/>
        <rFont val="Meiryo UI"/>
        <family val="0"/>
        <charset val="1"/>
      </rPr>
      <t xml:space="preserve">CO2</t>
    </r>
    <r>
      <rPr>
        <sz val="8.5"/>
        <color rgb="FF000000"/>
        <rFont val="WenQuanYi Zen Hei"/>
        <family val="2"/>
      </rPr>
      <t xml:space="preserve">実質ゼロ）とリコー（</t>
    </r>
    <r>
      <rPr>
        <sz val="8.5"/>
        <color rgb="FF000000"/>
        <rFont val="Meiryo UI"/>
        <family val="0"/>
        <charset val="1"/>
      </rPr>
      <t xml:space="preserve">86%+</t>
    </r>
    <r>
      <rPr>
        <sz val="8.5"/>
        <color rgb="FF000000"/>
        <rFont val="WenQuanYi Zen Hei"/>
        <family val="2"/>
      </rPr>
      <t xml:space="preserve">カーボンオフセット）が先行。シャープは再生機未確認</t>
    </r>
  </si>
  <si>
    <t xml:space="preserve">顧客評価・ブランド</t>
  </si>
  <si>
    <r>
      <rPr>
        <sz val="8.5"/>
        <color rgb="FF000000"/>
        <rFont val="Meiryo UI"/>
        <family val="0"/>
        <charset val="1"/>
      </rPr>
      <t xml:space="preserve">J.D.</t>
    </r>
    <r>
      <rPr>
        <sz val="8.5"/>
        <color rgb="FF000000"/>
        <rFont val="WenQuanYi Zen Hei"/>
        <family val="2"/>
      </rPr>
      <t xml:space="preserve">パワー：キヤノン</t>
    </r>
    <r>
      <rPr>
        <sz val="8.5"/>
        <color rgb="FF000000"/>
        <rFont val="Meiryo UI"/>
        <family val="0"/>
        <charset val="1"/>
      </rPr>
      <t xml:space="preserve">3</t>
    </r>
    <r>
      <rPr>
        <sz val="8.5"/>
        <color rgb="FF000000"/>
        <rFont val="WenQuanYi Zen Hei"/>
        <family val="2"/>
      </rPr>
      <t xml:space="preserve">年連続</t>
    </r>
    <r>
      <rPr>
        <sz val="8.5"/>
        <color rgb="FF000000"/>
        <rFont val="Meiryo UI"/>
        <family val="0"/>
        <charset val="1"/>
      </rPr>
      <t xml:space="preserve">1</t>
    </r>
    <r>
      <rPr>
        <sz val="8.5"/>
        <color rgb="FF000000"/>
        <rFont val="WenQuanYi Zen Hei"/>
        <family val="2"/>
      </rPr>
      <t xml:space="preserve">位。コニカミノルタは信頼性アワード受賞</t>
    </r>
  </si>
  <si>
    <r>
      <rPr>
        <b val="true"/>
        <sz val="10"/>
        <color rgb="FFFFFFFF"/>
        <rFont val="WenQuanYi Zen Hei"/>
        <family val="2"/>
      </rPr>
      <t xml:space="preserve">合計（</t>
    </r>
    <r>
      <rPr>
        <b val="true"/>
        <sz val="10"/>
        <color rgb="FFFFFFFF"/>
        <rFont val="Meiryo UI"/>
        <family val="0"/>
        <charset val="1"/>
      </rPr>
      <t xml:space="preserve">40</t>
    </r>
    <r>
      <rPr>
        <b val="true"/>
        <sz val="10"/>
        <color rgb="FFFFFFFF"/>
        <rFont val="WenQuanYi Zen Hei"/>
        <family val="2"/>
      </rPr>
      <t xml:space="preserve">点満点）</t>
    </r>
  </si>
  <si>
    <t xml:space="preserve">総合順位</t>
  </si>
  <si>
    <t xml:space="preserve">合計点に基づく順位（同点は同順位）</t>
  </si>
  <si>
    <r>
      <rPr>
        <b val="true"/>
        <sz val="14"/>
        <color rgb="FF1F3864"/>
        <rFont val="WenQuanYi Zen Hei"/>
        <family val="2"/>
      </rPr>
      <t xml:space="preserve">各社</t>
    </r>
    <r>
      <rPr>
        <b val="true"/>
        <sz val="14"/>
        <color rgb="FF1F3864"/>
        <rFont val="Meiryo UI"/>
        <family val="0"/>
        <charset val="1"/>
      </rPr>
      <t xml:space="preserve">SWOT</t>
    </r>
    <r>
      <rPr>
        <b val="true"/>
        <sz val="14"/>
        <color rgb="FF1F3864"/>
        <rFont val="WenQuanYi Zen Hei"/>
        <family val="2"/>
      </rPr>
      <t xml:space="preserve">分析</t>
    </r>
  </si>
  <si>
    <t xml:space="preserve">公開情報に基づく当社整理。</t>
  </si>
  <si>
    <t xml:space="preserve">富士フイルムビジネスイノベーション</t>
  </si>
  <si>
    <r>
      <rPr>
        <b val="true"/>
        <sz val="10"/>
        <color rgb="FFFFFFFF"/>
        <rFont val="WenQuanYi Zen Hei"/>
        <family val="2"/>
      </rPr>
      <t xml:space="preserve">強み（</t>
    </r>
    <r>
      <rPr>
        <b val="true"/>
        <sz val="10"/>
        <color rgb="FFFFFFFF"/>
        <rFont val="Meiryo UI"/>
        <family val="0"/>
        <charset val="1"/>
      </rPr>
      <t xml:space="preserve">Strengths</t>
    </r>
    <r>
      <rPr>
        <b val="true"/>
        <sz val="10"/>
        <color rgb="FFFFFFFF"/>
        <rFont val="WenQuanYi Zen Hei"/>
        <family val="2"/>
      </rPr>
      <t xml:space="preserve">）</t>
    </r>
  </si>
  <si>
    <r>
      <rPr>
        <b val="true"/>
        <sz val="10"/>
        <color rgb="FFFFFFFF"/>
        <rFont val="WenQuanYi Zen Hei"/>
        <family val="2"/>
      </rPr>
      <t xml:space="preserve">弱み（</t>
    </r>
    <r>
      <rPr>
        <b val="true"/>
        <sz val="10"/>
        <color rgb="FFFFFFFF"/>
        <rFont val="Meiryo UI"/>
        <family val="0"/>
        <charset val="1"/>
      </rPr>
      <t xml:space="preserve">Weaknesses</t>
    </r>
    <r>
      <rPr>
        <b val="true"/>
        <sz val="10"/>
        <color rgb="FFFFFFFF"/>
        <rFont val="WenQuanYi Zen Hei"/>
        <family val="2"/>
      </rPr>
      <t xml:space="preserve">）</t>
    </r>
  </si>
  <si>
    <t xml:space="preserve">内部環境</t>
  </si>
  <si>
    <r>
      <rPr>
        <sz val="9"/>
        <color rgb="FF000000"/>
        <rFont val="WenQuanYi Zen Hei"/>
        <family val="2"/>
      </rPr>
      <t xml:space="preserve">・国内トップクラスのシェアとブランド（旧富士ゼロックス）
・クラウド（</t>
    </r>
    <r>
      <rPr>
        <sz val="9"/>
        <color rgb="FF000000"/>
        <rFont val="Meiryo UI"/>
        <family val="0"/>
        <charset val="1"/>
      </rPr>
      <t xml:space="preserve">IWpro</t>
    </r>
    <r>
      <rPr>
        <sz val="9"/>
        <color rgb="FF000000"/>
        <rFont val="WenQuanYi Zen Hei"/>
        <family val="2"/>
      </rPr>
      <t xml:space="preserve">等）と保守網（約</t>
    </r>
    <r>
      <rPr>
        <sz val="9"/>
        <color rgb="FF000000"/>
        <rFont val="Meiryo UI"/>
        <family val="0"/>
        <charset val="1"/>
      </rPr>
      <t xml:space="preserve">300</t>
    </r>
    <r>
      <rPr>
        <sz val="9"/>
        <color rgb="FF000000"/>
        <rFont val="WenQuanYi Zen Hei"/>
        <family val="2"/>
      </rPr>
      <t xml:space="preserve">拠点・</t>
    </r>
    <r>
      <rPr>
        <sz val="9"/>
        <color rgb="FF000000"/>
        <rFont val="Meiryo UI"/>
        <family val="0"/>
        <charset val="1"/>
      </rPr>
      <t xml:space="preserve">AI</t>
    </r>
    <r>
      <rPr>
        <sz val="9"/>
        <color rgb="FF000000"/>
        <rFont val="WenQuanYi Zen Hei"/>
        <family val="2"/>
      </rPr>
      <t xml:space="preserve">保守基盤）の総合力
・再生機</t>
    </r>
    <r>
      <rPr>
        <sz val="9"/>
        <color rgb="FF000000"/>
        <rFont val="Meiryo UI"/>
        <family val="0"/>
        <charset val="1"/>
      </rPr>
      <t xml:space="preserve">12</t>
    </r>
    <r>
      <rPr>
        <sz val="9"/>
        <color rgb="FF000000"/>
        <rFont val="WenQuanYi Zen Hei"/>
        <family val="2"/>
      </rPr>
      <t xml:space="preserve">機種は業界最多</t>
    </r>
  </si>
  <si>
    <r>
      <rPr>
        <sz val="9"/>
        <color rgb="FF000000"/>
        <rFont val="WenQuanYi Zen Hei"/>
        <family val="2"/>
      </rPr>
      <t xml:space="preserve">・標準価格が高め（</t>
    </r>
    <r>
      <rPr>
        <sz val="9"/>
        <color rgb="FF000000"/>
        <rFont val="Meiryo UI"/>
        <family val="0"/>
        <charset val="1"/>
      </rPr>
      <t xml:space="preserve">C7071</t>
    </r>
    <r>
      <rPr>
        <sz val="9"/>
        <color rgb="FF000000"/>
        <rFont val="WenQuanYi Zen Hei"/>
        <family val="2"/>
      </rPr>
      <t xml:space="preserve">は</t>
    </r>
    <r>
      <rPr>
        <sz val="9"/>
        <color rgb="FF000000"/>
        <rFont val="Meiryo UI"/>
        <family val="0"/>
        <charset val="1"/>
      </rPr>
      <t xml:space="preserve">551.8</t>
    </r>
    <r>
      <rPr>
        <sz val="9"/>
        <color rgb="FF000000"/>
        <rFont val="WenQuanYi Zen Hei"/>
        <family val="2"/>
      </rPr>
      <t xml:space="preserve">万円）
・第</t>
    </r>
    <r>
      <rPr>
        <sz val="9"/>
        <color rgb="FF000000"/>
        <rFont val="Meiryo UI"/>
        <family val="0"/>
        <charset val="1"/>
      </rPr>
      <t xml:space="preserve">2</t>
    </r>
    <r>
      <rPr>
        <sz val="9"/>
        <color rgb="FF000000"/>
        <rFont val="WenQuanYi Zen Hei"/>
        <family val="2"/>
      </rPr>
      <t xml:space="preserve">世代への移行途上で旧機種が混在
・</t>
    </r>
    <r>
      <rPr>
        <sz val="9"/>
        <color rgb="FF000000"/>
        <rFont val="Meiryo UI"/>
        <family val="0"/>
        <charset val="1"/>
      </rPr>
      <t xml:space="preserve">HD</t>
    </r>
    <r>
      <rPr>
        <sz val="9"/>
        <color rgb="FF000000"/>
        <rFont val="WenQuanYi Zen Hei"/>
        <family val="2"/>
      </rPr>
      <t xml:space="preserve">内でのシナジー限定との指摘（分離検討の背景）</t>
    </r>
  </si>
  <si>
    <r>
      <rPr>
        <b val="true"/>
        <sz val="10"/>
        <color rgb="FFFFFFFF"/>
        <rFont val="WenQuanYi Zen Hei"/>
        <family val="2"/>
      </rPr>
      <t xml:space="preserve">機会（</t>
    </r>
    <r>
      <rPr>
        <b val="true"/>
        <sz val="10"/>
        <color rgb="FFFFFFFF"/>
        <rFont val="Meiryo UI"/>
        <family val="0"/>
        <charset val="1"/>
      </rPr>
      <t xml:space="preserve">Opportunities</t>
    </r>
    <r>
      <rPr>
        <b val="true"/>
        <sz val="10"/>
        <color rgb="FFFFFFFF"/>
        <rFont val="WenQuanYi Zen Hei"/>
        <family val="2"/>
      </rPr>
      <t xml:space="preserve">）</t>
    </r>
  </si>
  <si>
    <r>
      <rPr>
        <b val="true"/>
        <sz val="10"/>
        <color rgb="FFFFFFFF"/>
        <rFont val="WenQuanYi Zen Hei"/>
        <family val="2"/>
      </rPr>
      <t xml:space="preserve">脅威（</t>
    </r>
    <r>
      <rPr>
        <b val="true"/>
        <sz val="10"/>
        <color rgb="FFFFFFFF"/>
        <rFont val="Meiryo UI"/>
        <family val="0"/>
        <charset val="1"/>
      </rPr>
      <t xml:space="preserve">Threats</t>
    </r>
    <r>
      <rPr>
        <b val="true"/>
        <sz val="10"/>
        <color rgb="FFFFFFFF"/>
        <rFont val="WenQuanYi Zen Hei"/>
        <family val="2"/>
      </rPr>
      <t xml:space="preserve">）</t>
    </r>
  </si>
  <si>
    <t xml:space="preserve">外部環境</t>
  </si>
  <si>
    <r>
      <rPr>
        <sz val="9"/>
        <color rgb="FF000000"/>
        <rFont val="WenQuanYi Zen Hei"/>
        <family val="2"/>
      </rPr>
      <t xml:space="preserve">・分離上場による経営の自由度・投資拡大
・コニカミノルタとの調達合弁によるコスト低減
・文書クラウドを軸にした中堅中小</t>
    </r>
    <r>
      <rPr>
        <sz val="9"/>
        <color rgb="FF000000"/>
        <rFont val="Meiryo UI"/>
        <family val="0"/>
        <charset val="1"/>
      </rPr>
      <t xml:space="preserve">DX</t>
    </r>
    <r>
      <rPr>
        <sz val="9"/>
        <color rgb="FF000000"/>
        <rFont val="WenQuanYi Zen Hei"/>
        <family val="2"/>
      </rPr>
      <t xml:space="preserve">需要</t>
    </r>
  </si>
  <si>
    <r>
      <rPr>
        <sz val="9"/>
        <color rgb="FF000000"/>
        <rFont val="WenQuanYi Zen Hei"/>
        <family val="2"/>
      </rPr>
      <t xml:space="preserve">・分離に伴う信用・体制の不確実性
・市場縮小の直撃（国内比重が高い）
・リコー陣営（</t>
    </r>
    <r>
      <rPr>
        <sz val="9"/>
        <color rgb="FF000000"/>
        <rFont val="Meiryo UI"/>
        <family val="0"/>
        <charset val="1"/>
      </rPr>
      <t xml:space="preserve">ETRIA</t>
    </r>
    <r>
      <rPr>
        <sz val="9"/>
        <color rgb="FF000000"/>
        <rFont val="WenQuanYi Zen Hei"/>
        <family val="2"/>
      </rPr>
      <t xml:space="preserve">）の規模の経済</t>
    </r>
  </si>
  <si>
    <r>
      <rPr>
        <sz val="9"/>
        <color rgb="FF000000"/>
        <rFont val="WenQuanYi Zen Hei"/>
        <family val="2"/>
      </rPr>
      <t xml:space="preserve">・</t>
    </r>
    <r>
      <rPr>
        <sz val="9"/>
        <color rgb="FF000000"/>
        <rFont val="Meiryo UI"/>
        <family val="0"/>
        <charset val="1"/>
      </rPr>
      <t xml:space="preserve">J.D.</t>
    </r>
    <r>
      <rPr>
        <sz val="9"/>
        <color rgb="FF000000"/>
        <rFont val="WenQuanYi Zen Hei"/>
        <family val="2"/>
      </rPr>
      <t xml:space="preserve">パワー顧客満足度</t>
    </r>
    <r>
      <rPr>
        <sz val="9"/>
        <color rgb="FF000000"/>
        <rFont val="Meiryo UI"/>
        <family val="0"/>
        <charset val="1"/>
      </rPr>
      <t xml:space="preserve">3</t>
    </r>
    <r>
      <rPr>
        <sz val="9"/>
        <color rgb="FF000000"/>
        <rFont val="WenQuanYi Zen Hei"/>
        <family val="2"/>
      </rPr>
      <t xml:space="preserve">年連続</t>
    </r>
    <r>
      <rPr>
        <sz val="9"/>
        <color rgb="FF000000"/>
        <rFont val="Meiryo UI"/>
        <family val="0"/>
        <charset val="1"/>
      </rPr>
      <t xml:space="preserve">1</t>
    </r>
    <r>
      <rPr>
        <sz val="9"/>
        <color rgb="FF000000"/>
        <rFont val="WenQuanYi Zen Hei"/>
        <family val="2"/>
      </rPr>
      <t xml:space="preserve">位
・新開発</t>
    </r>
    <r>
      <rPr>
        <sz val="9"/>
        <color rgb="FF000000"/>
        <rFont val="Meiryo UI"/>
        <family val="0"/>
        <charset val="1"/>
      </rPr>
      <t xml:space="preserve">D2 Exposure</t>
    </r>
    <r>
      <rPr>
        <sz val="9"/>
        <color rgb="FF000000"/>
        <rFont val="WenQuanYi Zen Hei"/>
        <family val="2"/>
      </rPr>
      <t xml:space="preserve">による</t>
    </r>
    <r>
      <rPr>
        <sz val="9"/>
        <color rgb="FF000000"/>
        <rFont val="Meiryo UI"/>
        <family val="0"/>
        <charset val="1"/>
      </rPr>
      <t xml:space="preserve">4,800dpi</t>
    </r>
    <r>
      <rPr>
        <sz val="9"/>
        <color rgb="FF000000"/>
        <rFont val="WenQuanYi Zen Hei"/>
        <family val="2"/>
      </rPr>
      <t xml:space="preserve">画質でインハウス印刷を開拓
・再生機のリユース率</t>
    </r>
    <r>
      <rPr>
        <sz val="9"/>
        <color rgb="FF000000"/>
        <rFont val="Meiryo UI"/>
        <family val="0"/>
        <charset val="1"/>
      </rPr>
      <t xml:space="preserve">90%</t>
    </r>
    <r>
      <rPr>
        <sz val="9"/>
        <color rgb="FF000000"/>
        <rFont val="WenQuanYi Zen Hei"/>
        <family val="2"/>
      </rPr>
      <t xml:space="preserve">超は業界最高水準</t>
    </r>
  </si>
  <si>
    <r>
      <rPr>
        <sz val="9"/>
        <color rgb="FF000000"/>
        <rFont val="WenQuanYi Zen Hei"/>
        <family val="2"/>
      </rPr>
      <t xml:space="preserve">・複合機の国内シェア数値を公表せず、</t>
    </r>
    <r>
      <rPr>
        <sz val="9"/>
        <color rgb="FF000000"/>
        <rFont val="Meiryo UI"/>
        <family val="0"/>
        <charset val="1"/>
      </rPr>
      <t xml:space="preserve">A3</t>
    </r>
    <r>
      <rPr>
        <sz val="9"/>
        <color rgb="FF000000"/>
        <rFont val="WenQuanYi Zen Hei"/>
        <family val="2"/>
      </rPr>
      <t xml:space="preserve">カラー標準シリーズの価格はやや高め
・クラウド連携は</t>
    </r>
    <r>
      <rPr>
        <sz val="9"/>
        <color rgb="FF000000"/>
        <rFont val="Meiryo UI"/>
        <family val="0"/>
        <charset val="1"/>
      </rPr>
      <t xml:space="preserve">uniFLOW</t>
    </r>
    <r>
      <rPr>
        <sz val="9"/>
        <color rgb="FF000000"/>
        <rFont val="WenQuanYi Zen Hei"/>
        <family val="2"/>
      </rPr>
      <t xml:space="preserve">中心で自社業務アプリ層が薄い</t>
    </r>
  </si>
  <si>
    <r>
      <rPr>
        <sz val="9"/>
        <color rgb="FF000000"/>
        <rFont val="WenQuanYi Zen Hei"/>
        <family val="2"/>
      </rPr>
      <t xml:space="preserve">・</t>
    </r>
    <r>
      <rPr>
        <sz val="9"/>
        <color rgb="FF000000"/>
        <rFont val="Meiryo UI"/>
        <family val="0"/>
        <charset val="1"/>
      </rPr>
      <t xml:space="preserve">imageFORCE</t>
    </r>
    <r>
      <rPr>
        <sz val="9"/>
        <color rgb="FF000000"/>
        <rFont val="WenQuanYi Zen Hei"/>
        <family val="2"/>
      </rPr>
      <t xml:space="preserve">への世代交代による買い替え需要の取り込み
・印刷品質を武器にした販促内製化（インハウス）市場</t>
    </r>
  </si>
  <si>
    <r>
      <rPr>
        <sz val="9"/>
        <color rgb="FF000000"/>
        <rFont val="WenQuanYi Zen Hei"/>
        <family val="2"/>
      </rPr>
      <t xml:space="preserve">・欧米中心の台数減少（</t>
    </r>
    <r>
      <rPr>
        <sz val="9"/>
        <color rgb="FF000000"/>
        <rFont val="Meiryo UI"/>
        <family val="0"/>
        <charset val="1"/>
      </rPr>
      <t xml:space="preserve">2025/12</t>
    </r>
    <r>
      <rPr>
        <sz val="9"/>
        <color rgb="FF000000"/>
        <rFont val="WenQuanYi Zen Hei"/>
        <family val="2"/>
      </rPr>
      <t xml:space="preserve">期決算コメント）
・独立路線ゆえの生産コスト競争</t>
    </r>
  </si>
  <si>
    <r>
      <rPr>
        <sz val="9"/>
        <color rgb="FF000000"/>
        <rFont val="WenQuanYi Zen Hei"/>
        <family val="2"/>
      </rPr>
      <t xml:space="preserve">・</t>
    </r>
    <r>
      <rPr>
        <sz val="9"/>
        <color rgb="FF000000"/>
        <rFont val="Meiryo UI"/>
        <family val="0"/>
        <charset val="1"/>
      </rPr>
      <t xml:space="preserve">2026</t>
    </r>
    <r>
      <rPr>
        <sz val="9"/>
        <color rgb="FF000000"/>
        <rFont val="WenQuanYi Zen Hei"/>
        <family val="2"/>
      </rPr>
      <t xml:space="preserve">年</t>
    </r>
    <r>
      <rPr>
        <sz val="9"/>
        <color rgb="FF000000"/>
        <rFont val="Meiryo UI"/>
        <family val="0"/>
        <charset val="1"/>
      </rPr>
      <t xml:space="preserve">8</t>
    </r>
    <r>
      <rPr>
        <sz val="9"/>
        <color rgb="FF000000"/>
        <rFont val="WenQuanYi Zen Hei"/>
        <family val="2"/>
      </rPr>
      <t xml:space="preserve">月発売の最新シリーズで製品鮮度が最良
・エントリー価格</t>
    </r>
    <r>
      <rPr>
        <sz val="9"/>
        <color rgb="FF000000"/>
        <rFont val="Meiryo UI"/>
        <family val="0"/>
        <charset val="1"/>
      </rPr>
      <t xml:space="preserve">119</t>
    </r>
    <r>
      <rPr>
        <sz val="9"/>
        <color rgb="FF000000"/>
        <rFont val="WenQuanYi Zen Hei"/>
        <family val="2"/>
      </rPr>
      <t xml:space="preserve">万円と価格攻勢、</t>
    </r>
    <r>
      <rPr>
        <sz val="9"/>
        <color rgb="FF000000"/>
        <rFont val="Meiryo UI"/>
        <family val="0"/>
        <charset val="1"/>
      </rPr>
      <t xml:space="preserve">Always Current Technology</t>
    </r>
    <r>
      <rPr>
        <sz val="9"/>
        <color rgb="FF000000"/>
        <rFont val="WenQuanYi Zen Hei"/>
        <family val="2"/>
      </rPr>
      <t xml:space="preserve">で長期価値維持
・保守網（</t>
    </r>
    <r>
      <rPr>
        <sz val="9"/>
        <color rgb="FF000000"/>
        <rFont val="Meiryo UI"/>
        <family val="0"/>
        <charset val="1"/>
      </rPr>
      <t xml:space="preserve">424</t>
    </r>
    <r>
      <rPr>
        <sz val="9"/>
        <color rgb="FF000000"/>
        <rFont val="WenQuanYi Zen Hei"/>
        <family val="2"/>
      </rPr>
      <t xml:space="preserve">拠点・</t>
    </r>
    <r>
      <rPr>
        <sz val="9"/>
        <color rgb="FF000000"/>
        <rFont val="Meiryo UI"/>
        <family val="0"/>
        <charset val="1"/>
      </rPr>
      <t xml:space="preserve">CE</t>
    </r>
    <r>
      <rPr>
        <sz val="9"/>
        <color rgb="FF000000"/>
        <rFont val="WenQuanYi Zen Hei"/>
        <family val="2"/>
      </rPr>
      <t xml:space="preserve">約</t>
    </r>
    <r>
      <rPr>
        <sz val="9"/>
        <color rgb="FF000000"/>
        <rFont val="Meiryo UI"/>
        <family val="0"/>
        <charset val="1"/>
      </rPr>
      <t xml:space="preserve">4,400</t>
    </r>
    <r>
      <rPr>
        <sz val="9"/>
        <color rgb="FF000000"/>
        <rFont val="WenQuanYi Zen Hei"/>
        <family val="2"/>
      </rPr>
      <t xml:space="preserve">名）は業界最大級</t>
    </r>
  </si>
  <si>
    <r>
      <rPr>
        <sz val="9"/>
        <color rgb="FF000000"/>
        <rFont val="WenQuanYi Zen Hei"/>
        <family val="2"/>
      </rPr>
      <t xml:space="preserve">・ハード事業の収益性が低く構造改革途上
・シリーズが多層化（標準</t>
    </r>
    <r>
      <rPr>
        <sz val="9"/>
        <color rgb="FF000000"/>
        <rFont val="Meiryo UI"/>
        <family val="0"/>
        <charset val="1"/>
      </rPr>
      <t xml:space="preserve">/SD/</t>
    </r>
    <r>
      <rPr>
        <sz val="9"/>
        <color rgb="FF000000"/>
        <rFont val="WenQuanYi Zen Hei"/>
        <family val="2"/>
      </rPr>
      <t xml:space="preserve">高速</t>
    </r>
    <r>
      <rPr>
        <sz val="9"/>
        <color rgb="FF000000"/>
        <rFont val="Meiryo UI"/>
        <family val="0"/>
        <charset val="1"/>
      </rPr>
      <t xml:space="preserve">/CE</t>
    </r>
    <r>
      <rPr>
        <sz val="9"/>
        <color rgb="FF000000"/>
        <rFont val="WenQuanYi Zen Hei"/>
        <family val="2"/>
      </rPr>
      <t xml:space="preserve">）し訴求が複雑</t>
    </r>
  </si>
  <si>
    <r>
      <rPr>
        <sz val="9"/>
        <color rgb="FF000000"/>
        <rFont val="WenQuanYi Zen Hei"/>
        <family val="2"/>
      </rPr>
      <t xml:space="preserve">・</t>
    </r>
    <r>
      <rPr>
        <sz val="9"/>
        <color rgb="FF000000"/>
        <rFont val="Meiryo UI"/>
        <family val="0"/>
        <charset val="1"/>
      </rPr>
      <t xml:space="preserve">ETRIA</t>
    </r>
    <r>
      <rPr>
        <sz val="9"/>
        <color rgb="FF000000"/>
        <rFont val="WenQuanYi Zen Hei"/>
        <family val="2"/>
      </rPr>
      <t xml:space="preserve">（東芝テック・</t>
    </r>
    <r>
      <rPr>
        <sz val="9"/>
        <color rgb="FF000000"/>
        <rFont val="Meiryo UI"/>
        <family val="0"/>
        <charset val="1"/>
      </rPr>
      <t xml:space="preserve">OKI</t>
    </r>
    <r>
      <rPr>
        <sz val="9"/>
        <color rgb="FF000000"/>
        <rFont val="WenQuanYi Zen Hei"/>
        <family val="2"/>
      </rPr>
      <t xml:space="preserve">合流）による生産規模とコスト優位
・</t>
    </r>
    <r>
      <rPr>
        <sz val="9"/>
        <color rgb="FF000000"/>
        <rFont val="Meiryo UI"/>
        <family val="0"/>
        <charset val="1"/>
      </rPr>
      <t xml:space="preserve">kintone plus</t>
    </r>
    <r>
      <rPr>
        <sz val="9"/>
        <color rgb="FF000000"/>
        <rFont val="WenQuanYi Zen Hei"/>
        <family val="2"/>
      </rPr>
      <t xml:space="preserve">等の中小</t>
    </r>
    <r>
      <rPr>
        <sz val="9"/>
        <color rgb="FF000000"/>
        <rFont val="Meiryo UI"/>
        <family val="0"/>
        <charset val="1"/>
      </rPr>
      <t xml:space="preserve">DX</t>
    </r>
    <r>
      <rPr>
        <sz val="9"/>
        <color rgb="FF000000"/>
        <rFont val="WenQuanYi Zen Hei"/>
        <family val="2"/>
      </rPr>
      <t xml:space="preserve">需要、</t>
    </r>
    <r>
      <rPr>
        <sz val="9"/>
        <color rgb="FF000000"/>
        <rFont val="Meiryo UI"/>
        <family val="0"/>
        <charset val="1"/>
      </rPr>
      <t xml:space="preserve">AI</t>
    </r>
    <r>
      <rPr>
        <sz val="9"/>
        <color rgb="FF000000"/>
        <rFont val="WenQuanYi Zen Hei"/>
        <family val="2"/>
      </rPr>
      <t xml:space="preserve">事業（オンプレ</t>
    </r>
    <r>
      <rPr>
        <sz val="9"/>
        <color rgb="FF000000"/>
        <rFont val="Meiryo UI"/>
        <family val="0"/>
        <charset val="1"/>
      </rPr>
      <t xml:space="preserve">LLM</t>
    </r>
    <r>
      <rPr>
        <sz val="9"/>
        <color rgb="FF000000"/>
        <rFont val="WenQuanYi Zen Hei"/>
        <family val="2"/>
      </rPr>
      <t xml:space="preserve">等）</t>
    </r>
  </si>
  <si>
    <r>
      <rPr>
        <sz val="9"/>
        <color rgb="FF000000"/>
        <rFont val="WenQuanYi Zen Hei"/>
        <family val="2"/>
      </rPr>
      <t xml:space="preserve">・オフィスプリンティング縮小の直撃
・</t>
    </r>
    <r>
      <rPr>
        <sz val="9"/>
        <color rgb="FF000000"/>
        <rFont val="Meiryo UI"/>
        <family val="0"/>
        <charset val="1"/>
      </rPr>
      <t xml:space="preserve">ETRIA</t>
    </r>
    <r>
      <rPr>
        <sz val="9"/>
        <color rgb="FF000000"/>
        <rFont val="WenQuanYi Zen Hei"/>
        <family val="2"/>
      </rPr>
      <t xml:space="preserve">統合の実行リスク</t>
    </r>
  </si>
  <si>
    <r>
      <rPr>
        <sz val="9"/>
        <color rgb="FF000000"/>
        <rFont val="WenQuanYi Zen Hei"/>
        <family val="2"/>
      </rPr>
      <t xml:space="preserve">・エントリー〜中速の価格競争力（</t>
    </r>
    <r>
      <rPr>
        <sz val="9"/>
        <color rgb="FF000000"/>
        <rFont val="Meiryo UI"/>
        <family val="0"/>
        <charset val="1"/>
      </rPr>
      <t xml:space="preserve">120</t>
    </r>
    <r>
      <rPr>
        <sz val="9"/>
        <color rgb="FF000000"/>
        <rFont val="WenQuanYi Zen Hei"/>
        <family val="2"/>
      </rPr>
      <t xml:space="preserve">万〜</t>
    </r>
    <r>
      <rPr>
        <sz val="9"/>
        <color rgb="FF000000"/>
        <rFont val="Meiryo UI"/>
        <family val="0"/>
        <charset val="1"/>
      </rPr>
      <t xml:space="preserve">291</t>
    </r>
    <r>
      <rPr>
        <sz val="9"/>
        <color rgb="FF000000"/>
        <rFont val="WenQuanYi Zen Hei"/>
        <family val="2"/>
      </rPr>
      <t xml:space="preserve">万円）
・生成</t>
    </r>
    <r>
      <rPr>
        <sz val="9"/>
        <color rgb="FF000000"/>
        <rFont val="Meiryo UI"/>
        <family val="0"/>
        <charset val="1"/>
      </rPr>
      <t xml:space="preserve">AI</t>
    </r>
    <r>
      <rPr>
        <sz val="9"/>
        <color rgb="FF000000"/>
        <rFont val="WenQuanYi Zen Hei"/>
        <family val="2"/>
      </rPr>
      <t xml:space="preserve">サポート・</t>
    </r>
    <r>
      <rPr>
        <sz val="9"/>
        <color rgb="FF000000"/>
        <rFont val="Meiryo UI"/>
        <family val="0"/>
        <charset val="1"/>
      </rPr>
      <t xml:space="preserve">UTM</t>
    </r>
    <r>
      <rPr>
        <sz val="9"/>
        <color rgb="FF000000"/>
        <rFont val="WenQuanYi Zen Hei"/>
        <family val="2"/>
      </rPr>
      <t xml:space="preserve">・</t>
    </r>
    <r>
      <rPr>
        <sz val="9"/>
        <color rgb="FF000000"/>
        <rFont val="Meiryo UI"/>
        <family val="0"/>
        <charset val="1"/>
      </rPr>
      <t xml:space="preserve">Entra ID</t>
    </r>
    <r>
      <rPr>
        <sz val="9"/>
        <color rgb="FF000000"/>
        <rFont val="WenQuanYi Zen Hei"/>
        <family val="2"/>
      </rPr>
      <t xml:space="preserve">対応など中小向け「全部入り」
・コンビニ向けマルチコピー機で国内</t>
    </r>
    <r>
      <rPr>
        <sz val="9"/>
        <color rgb="FF000000"/>
        <rFont val="Meiryo UI"/>
        <family val="0"/>
        <charset val="1"/>
      </rPr>
      <t xml:space="preserve">1</t>
    </r>
    <r>
      <rPr>
        <sz val="9"/>
        <color rgb="FF000000"/>
        <rFont val="WenQuanYi Zen Hei"/>
        <family val="2"/>
      </rPr>
      <t xml:space="preserve">位</t>
    </r>
  </si>
  <si>
    <r>
      <rPr>
        <sz val="9"/>
        <color rgb="FF000000"/>
        <rFont val="WenQuanYi Zen Hei"/>
        <family val="2"/>
      </rPr>
      <t xml:space="preserve">・</t>
    </r>
    <r>
      <rPr>
        <sz val="9"/>
        <color rgb="FF000000"/>
        <rFont val="Meiryo UI"/>
        <family val="0"/>
        <charset val="1"/>
      </rPr>
      <t xml:space="preserve">A3</t>
    </r>
    <r>
      <rPr>
        <sz val="9"/>
        <color rgb="FF000000"/>
        <rFont val="WenQuanYi Zen Hei"/>
        <family val="2"/>
      </rPr>
      <t xml:space="preserve">カラーは</t>
    </r>
    <r>
      <rPr>
        <sz val="9"/>
        <color rgb="FF000000"/>
        <rFont val="Meiryo UI"/>
        <family val="0"/>
        <charset val="1"/>
      </rPr>
      <t xml:space="preserve">65ppm</t>
    </r>
    <r>
      <rPr>
        <sz val="9"/>
        <color rgb="FF000000"/>
        <rFont val="WenQuanYi Zen Hei"/>
        <family val="2"/>
      </rPr>
      <t xml:space="preserve">上限で大手町・大企業向け高速域が手薄
・保守拠点数（</t>
    </r>
    <r>
      <rPr>
        <sz val="9"/>
        <color rgb="FF000000"/>
        <rFont val="Meiryo UI"/>
        <family val="0"/>
        <charset val="1"/>
      </rPr>
      <t xml:space="preserve">108</t>
    </r>
    <r>
      <rPr>
        <sz val="9"/>
        <color rgb="FF000000"/>
        <rFont val="WenQuanYi Zen Hei"/>
        <family val="2"/>
      </rPr>
      <t xml:space="preserve">拠点）が上位</t>
    </r>
    <r>
      <rPr>
        <sz val="9"/>
        <color rgb="FF000000"/>
        <rFont val="Meiryo UI"/>
        <family val="0"/>
        <charset val="1"/>
      </rPr>
      <t xml:space="preserve">3</t>
    </r>
    <r>
      <rPr>
        <sz val="9"/>
        <color rgb="FF000000"/>
        <rFont val="WenQuanYi Zen Hei"/>
        <family val="2"/>
      </rPr>
      <t xml:space="preserve">社に見劣り
・再生複合機の展開が未確認</t>
    </r>
  </si>
  <si>
    <r>
      <rPr>
        <sz val="9"/>
        <color rgb="FF000000"/>
        <rFont val="WenQuanYi Zen Hei"/>
        <family val="2"/>
      </rPr>
      <t xml:space="preserve">・中小企業の</t>
    </r>
    <r>
      <rPr>
        <sz val="9"/>
        <color rgb="FF000000"/>
        <rFont val="Meiryo UI"/>
        <family val="0"/>
        <charset val="1"/>
      </rPr>
      <t xml:space="preserve">IT</t>
    </r>
    <r>
      <rPr>
        <sz val="9"/>
        <color rgb="FF000000"/>
        <rFont val="WenQuanYi Zen Hei"/>
        <family val="2"/>
      </rPr>
      <t xml:space="preserve">担当者不足を突くオールインワン提案
・</t>
    </r>
    <r>
      <rPr>
        <sz val="9"/>
        <color rgb="FF000000"/>
        <rFont val="Meiryo UI"/>
        <family val="0"/>
        <charset val="1"/>
      </rPr>
      <t xml:space="preserve">COCORO OFFICE</t>
    </r>
    <r>
      <rPr>
        <sz val="9"/>
        <color rgb="FF000000"/>
        <rFont val="WenQuanYi Zen Hei"/>
        <family val="2"/>
      </rPr>
      <t xml:space="preserve">による電子帳簿保存等の法対応需要</t>
    </r>
  </si>
  <si>
    <r>
      <rPr>
        <sz val="9"/>
        <color rgb="FF000000"/>
        <rFont val="WenQuanYi Zen Hei"/>
        <family val="2"/>
      </rPr>
      <t xml:space="preserve">・大手</t>
    </r>
    <r>
      <rPr>
        <sz val="9"/>
        <color rgb="FF000000"/>
        <rFont val="Meiryo UI"/>
        <family val="0"/>
        <charset val="1"/>
      </rPr>
      <t xml:space="preserve">3</t>
    </r>
    <r>
      <rPr>
        <sz val="9"/>
        <color rgb="FF000000"/>
        <rFont val="WenQuanYi Zen Hei"/>
        <family val="2"/>
      </rPr>
      <t xml:space="preserve">社の中小市場への価格攻勢
・親会社（鴻海）グループの戦略変更リスク</t>
    </r>
  </si>
  <si>
    <r>
      <rPr>
        <sz val="9"/>
        <color rgb="FF000000"/>
        <rFont val="WenQuanYi Zen Hei"/>
        <family val="2"/>
      </rPr>
      <t xml:space="preserve">・本体ウイルススキャン標準搭載などセキュリティ先行
・</t>
    </r>
    <r>
      <rPr>
        <sz val="9"/>
        <color rgb="FF000000"/>
        <rFont val="Meiryo UI"/>
        <family val="0"/>
        <charset val="1"/>
      </rPr>
      <t xml:space="preserve">Keypoint Intelligence</t>
    </r>
    <r>
      <rPr>
        <sz val="9"/>
        <color rgb="FF000000"/>
        <rFont val="WenQuanYi Zen Hei"/>
        <family val="2"/>
      </rPr>
      <t xml:space="preserve">信頼性アワード受賞
・再製造機</t>
    </r>
    <r>
      <rPr>
        <sz val="9"/>
        <color rgb="FF000000"/>
        <rFont val="Meiryo UI"/>
        <family val="0"/>
        <charset val="1"/>
      </rPr>
      <t xml:space="preserve">RM</t>
    </r>
    <r>
      <rPr>
        <sz val="9"/>
        <color rgb="FF000000"/>
        <rFont val="WenQuanYi Zen Hei"/>
        <family val="2"/>
      </rPr>
      <t xml:space="preserve">シリーズ・再生材</t>
    </r>
    <r>
      <rPr>
        <sz val="9"/>
        <color rgb="FF000000"/>
        <rFont val="Meiryo UI"/>
        <family val="0"/>
        <charset val="1"/>
      </rPr>
      <t xml:space="preserve">88%</t>
    </r>
    <r>
      <rPr>
        <sz val="9"/>
        <color rgb="FF000000"/>
        <rFont val="WenQuanYi Zen Hei"/>
        <family val="2"/>
      </rPr>
      <t xml:space="preserve">など環境訴求</t>
    </r>
  </si>
  <si>
    <r>
      <rPr>
        <sz val="9"/>
        <color rgb="FF000000"/>
        <rFont val="WenQuanYi Zen Hei"/>
        <family val="2"/>
      </rPr>
      <t xml:space="preserve">・国内シェア</t>
    </r>
    <r>
      <rPr>
        <sz val="9"/>
        <color rgb="FF000000"/>
        <rFont val="Meiryo UI"/>
        <family val="0"/>
        <charset val="1"/>
      </rPr>
      <t xml:space="preserve">5</t>
    </r>
    <r>
      <rPr>
        <sz val="9"/>
        <color rgb="FF000000"/>
        <rFont val="WenQuanYi Zen Hei"/>
        <family val="2"/>
      </rPr>
      <t xml:space="preserve">位圏で存在感が薄い
・本体</t>
    </r>
    <r>
      <rPr>
        <sz val="9"/>
        <color rgb="FF000000"/>
        <rFont val="Meiryo UI"/>
        <family val="0"/>
        <charset val="1"/>
      </rPr>
      <t xml:space="preserve">AI</t>
    </r>
    <r>
      <rPr>
        <sz val="9"/>
        <color rgb="FF000000"/>
        <rFont val="WenQuanYi Zen Hei"/>
        <family val="2"/>
      </rPr>
      <t xml:space="preserve">機能の訴求が弱い
・保守拠点数で上位社に見劣りとの評価</t>
    </r>
  </si>
  <si>
    <r>
      <rPr>
        <sz val="9"/>
        <color rgb="FF000000"/>
        <rFont val="WenQuanYi Zen Hei"/>
        <family val="2"/>
      </rPr>
      <t xml:space="preserve">・富士フイルム</t>
    </r>
    <r>
      <rPr>
        <sz val="9"/>
        <color rgb="FF000000"/>
        <rFont val="Meiryo UI"/>
        <family val="0"/>
        <charset val="1"/>
      </rPr>
      <t xml:space="preserve">BI</t>
    </r>
    <r>
      <rPr>
        <sz val="9"/>
        <color rgb="FF000000"/>
        <rFont val="WenQuanYi Zen Hei"/>
        <family val="2"/>
      </rPr>
      <t xml:space="preserve">との調達合弁によるコスト改善
・欧米で強い販売網を活かしたグローバル戦略</t>
    </r>
  </si>
  <si>
    <r>
      <rPr>
        <sz val="9"/>
        <color rgb="FF000000"/>
        <rFont val="WenQuanYi Zen Hei"/>
        <family val="2"/>
      </rPr>
      <t xml:space="preserve">・国内市場での埋没リスク
・提携先（富士フイルム</t>
    </r>
    <r>
      <rPr>
        <sz val="9"/>
        <color rgb="FF000000"/>
        <rFont val="Meiryo UI"/>
        <family val="0"/>
        <charset val="1"/>
      </rPr>
      <t xml:space="preserve">BI</t>
    </r>
    <r>
      <rPr>
        <sz val="9"/>
        <color rgb="FF000000"/>
        <rFont val="WenQuanYi Zen Hei"/>
        <family val="2"/>
      </rPr>
      <t xml:space="preserve">）の戦略変更（分離上場）の影響</t>
    </r>
  </si>
  <si>
    <t xml:space="preserve">前提条件・データの制約・出典一覧</t>
  </si>
  <si>
    <t xml:space="preserve">前提条件とデータの制約</t>
  </si>
  <si>
    <r>
      <rPr>
        <sz val="9.5"/>
        <color rgb="FF000000"/>
        <rFont val="WenQuanYi Zen Hei"/>
        <family val="2"/>
      </rPr>
      <t xml:space="preserve">・情報基準日は</t>
    </r>
    <r>
      <rPr>
        <sz val="9.5"/>
        <color rgb="FF000000"/>
        <rFont val="Meiryo UI"/>
        <family val="0"/>
        <charset val="1"/>
      </rPr>
      <t xml:space="preserve">2026</t>
    </r>
    <r>
      <rPr>
        <sz val="9.5"/>
        <color rgb="FF000000"/>
        <rFont val="WenQuanYi Zen Hei"/>
        <family val="2"/>
      </rPr>
      <t xml:space="preserve">年</t>
    </r>
    <r>
      <rPr>
        <sz val="9.5"/>
        <color rgb="FF000000"/>
        <rFont val="Meiryo UI"/>
        <family val="0"/>
        <charset val="1"/>
      </rPr>
      <t xml:space="preserve">8</t>
    </r>
    <r>
      <rPr>
        <sz val="9.5"/>
        <color rgb="FF000000"/>
        <rFont val="WenQuanYi Zen Hei"/>
        <family val="2"/>
      </rPr>
      <t xml:space="preserve">月</t>
    </r>
    <r>
      <rPr>
        <sz val="9.5"/>
        <color rgb="FF000000"/>
        <rFont val="Meiryo UI"/>
        <family val="0"/>
        <charset val="1"/>
      </rPr>
      <t xml:space="preserve">19</t>
    </r>
    <r>
      <rPr>
        <sz val="9.5"/>
        <color rgb="FF000000"/>
        <rFont val="WenQuanYi Zen Hei"/>
        <family val="2"/>
      </rPr>
      <t xml:space="preserve">日。各社の公式ニュースリリース・製品ページ・</t>
    </r>
    <r>
      <rPr>
        <sz val="9.5"/>
        <color rgb="FF000000"/>
        <rFont val="Meiryo UI"/>
        <family val="0"/>
        <charset val="1"/>
      </rPr>
      <t xml:space="preserve">IR</t>
    </r>
    <r>
      <rPr>
        <sz val="9.5"/>
        <color rgb="FF000000"/>
        <rFont val="WenQuanYi Zen Hei"/>
        <family val="2"/>
      </rPr>
      <t xml:space="preserve">資料・業界メディアの公開情報を</t>
    </r>
    <r>
      <rPr>
        <sz val="9.5"/>
        <color rgb="FF000000"/>
        <rFont val="Meiryo UI"/>
        <family val="0"/>
        <charset val="1"/>
      </rPr>
      <t xml:space="preserve">Web</t>
    </r>
    <r>
      <rPr>
        <sz val="9.5"/>
        <color rgb="FF000000"/>
        <rFont val="WenQuanYi Zen Hei"/>
        <family val="2"/>
      </rPr>
      <t xml:space="preserve">調査で集約した。</t>
    </r>
  </si>
  <si>
    <t xml:space="preserve">・価格は原則メーカー標準価格（税別）。「※」を付した価格は正規販売店・販社系メディアの公表値であり、メーカー公式価格と異なる可能性がある。実際の取引価格（値引後・リース）はこれより大幅に低いのが通例。</t>
  </si>
  <si>
    <t xml:space="preserve">・印刷速度が公式未確認のモデルは型番からの推定（本文中に「推定」と明記）。</t>
  </si>
  <si>
    <r>
      <rPr>
        <sz val="9.5"/>
        <color rgb="FF000000"/>
        <rFont val="WenQuanYi Zen Hei"/>
        <family val="2"/>
      </rPr>
      <t xml:space="preserve">・国内シェアは</t>
    </r>
    <r>
      <rPr>
        <sz val="9.5"/>
        <color rgb="FF000000"/>
        <rFont val="Meiryo UI"/>
        <family val="0"/>
        <charset val="1"/>
      </rPr>
      <t xml:space="preserve">IDC Japan</t>
    </r>
    <r>
      <rPr>
        <sz val="9.5"/>
        <color rgb="FF000000"/>
        <rFont val="WenQuanYi Zen Hei"/>
        <family val="2"/>
      </rPr>
      <t xml:space="preserve">・データサプライ等の確定値が有料レポートのため未取得であり、販社系メディア・アンケート調査の推定値を利用。調査により数値が大きく異なる。</t>
    </r>
  </si>
  <si>
    <t xml:space="preserve">・決算数値は各社セグメント区分（複合機以外を含む場合あり）のため、単純な横比較はできない。</t>
  </si>
  <si>
    <t xml:space="preserve">・スコアリング（機能・サービス評価シート）は公開情報に基づく作成者の定性評価であり、客観的測定値ではない。</t>
  </si>
  <si>
    <t xml:space="preserve">主要出典一覧</t>
  </si>
  <si>
    <t xml:space="preserve">出典</t>
  </si>
  <si>
    <t xml:space="preserve">URL</t>
  </si>
  <si>
    <r>
      <rPr>
        <sz val="9"/>
        <color rgb="FF000000"/>
        <rFont val="WenQuanYi Zen Hei"/>
        <family val="2"/>
      </rPr>
      <t xml:space="preserve">新商品リリース（</t>
    </r>
    <r>
      <rPr>
        <sz val="9"/>
        <color rgb="FF000000"/>
        <rFont val="Meiryo UI"/>
        <family val="0"/>
        <charset val="1"/>
      </rPr>
      <t xml:space="preserve">Apeos</t>
    </r>
    <r>
      <rPr>
        <sz val="9"/>
        <color rgb="FF000000"/>
        <rFont val="WenQuanYi Zen Hei"/>
        <family val="2"/>
      </rPr>
      <t xml:space="preserve">第</t>
    </r>
    <r>
      <rPr>
        <sz val="9"/>
        <color rgb="FF000000"/>
        <rFont val="Meiryo UI"/>
        <family val="0"/>
        <charset val="1"/>
      </rPr>
      <t xml:space="preserve">2</t>
    </r>
    <r>
      <rPr>
        <sz val="9"/>
        <color rgb="FF000000"/>
        <rFont val="WenQuanYi Zen Hei"/>
        <family val="2"/>
      </rPr>
      <t xml:space="preserve">世代・</t>
    </r>
    <r>
      <rPr>
        <sz val="9"/>
        <color rgb="FF000000"/>
        <rFont val="Meiryo UI"/>
        <family val="0"/>
        <charset val="1"/>
      </rPr>
      <t xml:space="preserve">2024/9</t>
    </r>
    <r>
      <rPr>
        <sz val="9"/>
        <color rgb="FF000000"/>
        <rFont val="WenQuanYi Zen Hei"/>
        <family val="2"/>
      </rPr>
      <t xml:space="preserve">）</t>
    </r>
  </si>
  <si>
    <t xml:space="preserve">https://www.fujifilm.com/fb/company/news/release/2024/82228</t>
  </si>
  <si>
    <r>
      <rPr>
        <sz val="9"/>
        <color rgb="FF000000"/>
        <rFont val="Meiryo UI"/>
        <family val="0"/>
        <charset val="1"/>
      </rPr>
      <t xml:space="preserve">A3</t>
    </r>
    <r>
      <rPr>
        <sz val="9"/>
        <color rgb="FF000000"/>
        <rFont val="WenQuanYi Zen Hei"/>
        <family val="2"/>
      </rPr>
      <t xml:space="preserve">モノクロ </t>
    </r>
    <r>
      <rPr>
        <sz val="9"/>
        <color rgb="FF000000"/>
        <rFont val="Meiryo UI"/>
        <family val="0"/>
        <charset val="1"/>
      </rPr>
      <t xml:space="preserve">Apeos 3061</t>
    </r>
    <r>
      <rPr>
        <sz val="9"/>
        <color rgb="FF000000"/>
        <rFont val="WenQuanYi Zen Hei"/>
        <family val="2"/>
      </rPr>
      <t xml:space="preserve">シリーズ（</t>
    </r>
    <r>
      <rPr>
        <sz val="9"/>
        <color rgb="FF000000"/>
        <rFont val="Meiryo UI"/>
        <family val="0"/>
        <charset val="1"/>
      </rPr>
      <t xml:space="preserve">2025/10</t>
    </r>
    <r>
      <rPr>
        <sz val="9"/>
        <color rgb="FF000000"/>
        <rFont val="WenQuanYi Zen Hei"/>
        <family val="2"/>
      </rPr>
      <t xml:space="preserve">）</t>
    </r>
  </si>
  <si>
    <t xml:space="preserve">https://www.fujifilm.com/fb/company/news/release/2025/83592</t>
  </si>
  <si>
    <r>
      <rPr>
        <sz val="9"/>
        <color rgb="FF000000"/>
        <rFont val="WenQuanYi Zen Hei"/>
        <family val="2"/>
      </rPr>
      <t xml:space="preserve">富士フイルム</t>
    </r>
    <r>
      <rPr>
        <sz val="9"/>
        <color rgb="FF000000"/>
        <rFont val="Meiryo UI"/>
        <family val="0"/>
        <charset val="1"/>
      </rPr>
      <t xml:space="preserve">HD </t>
    </r>
    <r>
      <rPr>
        <sz val="9"/>
        <color rgb="FF000000"/>
        <rFont val="WenQuanYi Zen Hei"/>
        <family val="2"/>
      </rPr>
      <t xml:space="preserve">セグメント業績</t>
    </r>
  </si>
  <si>
    <t xml:space="preserve">https://ir.fujifilm.com/ja/investors/performance-and-finance/segment1.html</t>
  </si>
  <si>
    <r>
      <rPr>
        <sz val="9"/>
        <color rgb="FF000000"/>
        <rFont val="WenQuanYi Zen Hei"/>
        <family val="2"/>
      </rPr>
      <t xml:space="preserve">分離・上場検討の報道（日経・</t>
    </r>
    <r>
      <rPr>
        <sz val="9"/>
        <color rgb="FF000000"/>
        <rFont val="Meiryo UI"/>
        <family val="0"/>
        <charset val="1"/>
      </rPr>
      <t xml:space="preserve">2026/8</t>
    </r>
    <r>
      <rPr>
        <sz val="9"/>
        <color rgb="FF000000"/>
        <rFont val="WenQuanYi Zen Hei"/>
        <family val="2"/>
      </rPr>
      <t xml:space="preserve">）</t>
    </r>
  </si>
  <si>
    <t xml:space="preserve">https://www.nikkei.com/article/DGXZQOUC065YY0W6A800C2000000/</t>
  </si>
  <si>
    <r>
      <rPr>
        <sz val="9"/>
        <color rgb="FF000000"/>
        <rFont val="Meiryo UI"/>
        <family val="0"/>
        <charset val="1"/>
      </rPr>
      <t xml:space="preserve">imageFORCE 5</t>
    </r>
    <r>
      <rPr>
        <sz val="9"/>
        <color rgb="FF000000"/>
        <rFont val="WenQuanYi Zen Hei"/>
        <family val="2"/>
      </rPr>
      <t xml:space="preserve">シリーズ</t>
    </r>
    <r>
      <rPr>
        <sz val="9"/>
        <color rgb="FF000000"/>
        <rFont val="Meiryo UI"/>
        <family val="0"/>
        <charset val="1"/>
      </rPr>
      <t xml:space="preserve">15</t>
    </r>
    <r>
      <rPr>
        <sz val="9"/>
        <color rgb="FF000000"/>
        <rFont val="WenQuanYi Zen Hei"/>
        <family val="2"/>
      </rPr>
      <t xml:space="preserve">モデル発表（</t>
    </r>
    <r>
      <rPr>
        <sz val="9"/>
        <color rgb="FF000000"/>
        <rFont val="Meiryo UI"/>
        <family val="0"/>
        <charset val="1"/>
      </rPr>
      <t xml:space="preserve">2025/8/5</t>
    </r>
    <r>
      <rPr>
        <sz val="9"/>
        <color rgb="FF000000"/>
        <rFont val="WenQuanYi Zen Hei"/>
        <family val="2"/>
      </rPr>
      <t xml:space="preserve">）</t>
    </r>
  </si>
  <si>
    <t xml:space="preserve">https://corporate.jp.canon/newsrelease/2025/pr-0805a</t>
  </si>
  <si>
    <r>
      <rPr>
        <sz val="9"/>
        <color rgb="FF000000"/>
        <rFont val="Meiryo UI"/>
        <family val="0"/>
        <charset val="1"/>
      </rPr>
      <t xml:space="preserve">imageFORCE </t>
    </r>
    <r>
      <rPr>
        <sz val="9"/>
        <color rgb="FF000000"/>
        <rFont val="WenQuanYi Zen Hei"/>
        <family val="2"/>
      </rPr>
      <t xml:space="preserve">追加</t>
    </r>
    <r>
      <rPr>
        <sz val="9"/>
        <color rgb="FF000000"/>
        <rFont val="Meiryo UI"/>
        <family val="0"/>
        <charset val="1"/>
      </rPr>
      <t xml:space="preserve">8</t>
    </r>
    <r>
      <rPr>
        <sz val="9"/>
        <color rgb="FF000000"/>
        <rFont val="WenQuanYi Zen Hei"/>
        <family val="2"/>
      </rPr>
      <t xml:space="preserve">モデル発表（</t>
    </r>
    <r>
      <rPr>
        <sz val="9"/>
        <color rgb="FF000000"/>
        <rFont val="Meiryo UI"/>
        <family val="0"/>
        <charset val="1"/>
      </rPr>
      <t xml:space="preserve">2026/7/9</t>
    </r>
    <r>
      <rPr>
        <sz val="9"/>
        <color rgb="FF000000"/>
        <rFont val="WenQuanYi Zen Hei"/>
        <family val="2"/>
      </rPr>
      <t xml:space="preserve">）</t>
    </r>
  </si>
  <si>
    <t xml:space="preserve">https://corporate.jp.canon/newsroom/newsrelease/2026/pr-0709a</t>
  </si>
  <si>
    <r>
      <rPr>
        <sz val="9"/>
        <color rgb="FF000000"/>
        <rFont val="Meiryo UI"/>
        <family val="0"/>
        <charset val="1"/>
      </rPr>
      <t xml:space="preserve">2025</t>
    </r>
    <r>
      <rPr>
        <sz val="9"/>
        <color rgb="FF000000"/>
        <rFont val="WenQuanYi Zen Hei"/>
        <family val="2"/>
      </rPr>
      <t xml:space="preserve">年</t>
    </r>
    <r>
      <rPr>
        <sz val="9"/>
        <color rgb="FF000000"/>
        <rFont val="Meiryo UI"/>
        <family val="0"/>
        <charset val="1"/>
      </rPr>
      <t xml:space="preserve">12</t>
    </r>
    <r>
      <rPr>
        <sz val="9"/>
        <color rgb="FF000000"/>
        <rFont val="WenQuanYi Zen Hei"/>
        <family val="2"/>
      </rPr>
      <t xml:space="preserve">月期 決算資料</t>
    </r>
  </si>
  <si>
    <t xml:space="preserve">https://global.canon/ja/ir/results/2025/rslt2025j.pdf</t>
  </si>
  <si>
    <r>
      <rPr>
        <sz val="9"/>
        <color rgb="FF000000"/>
        <rFont val="Meiryo UI"/>
        <family val="0"/>
        <charset val="1"/>
      </rPr>
      <t xml:space="preserve">J.D.</t>
    </r>
    <r>
      <rPr>
        <sz val="9"/>
        <color rgb="FF000000"/>
        <rFont val="WenQuanYi Zen Hei"/>
        <family val="2"/>
      </rPr>
      <t xml:space="preserve">パワー</t>
    </r>
    <r>
      <rPr>
        <sz val="9"/>
        <color rgb="FF000000"/>
        <rFont val="Meiryo UI"/>
        <family val="0"/>
        <charset val="1"/>
      </rPr>
      <t xml:space="preserve">2025 </t>
    </r>
    <r>
      <rPr>
        <sz val="9"/>
        <color rgb="FF000000"/>
        <rFont val="WenQuanYi Zen Hei"/>
        <family val="2"/>
      </rPr>
      <t xml:space="preserve">カラー複合機顧客満足度調査</t>
    </r>
  </si>
  <si>
    <t xml:space="preserve">https://japan.jdpower.com/ja/press-releases/2025_Japan_Color_MFP_Laser_Printer_Satisfaction_Study</t>
  </si>
  <si>
    <r>
      <rPr>
        <sz val="9"/>
        <color rgb="FF000000"/>
        <rFont val="Meiryo UI"/>
        <family val="0"/>
        <charset val="1"/>
      </rPr>
      <t xml:space="preserve">IM C6011</t>
    </r>
    <r>
      <rPr>
        <sz val="9"/>
        <color rgb="FF000000"/>
        <rFont val="WenQuanYi Zen Hei"/>
        <family val="2"/>
      </rPr>
      <t xml:space="preserve">シリーズ発売（クラウド</t>
    </r>
    <r>
      <rPr>
        <sz val="9"/>
        <color rgb="FF000000"/>
        <rFont val="Meiryo UI"/>
        <family val="0"/>
        <charset val="1"/>
      </rPr>
      <t xml:space="preserve">Watch</t>
    </r>
    <r>
      <rPr>
        <sz val="9"/>
        <color rgb="FF000000"/>
        <rFont val="WenQuanYi Zen Hei"/>
        <family val="2"/>
      </rPr>
      <t xml:space="preserve">・</t>
    </r>
    <r>
      <rPr>
        <sz val="9"/>
        <color rgb="FF000000"/>
        <rFont val="Meiryo UI"/>
        <family val="0"/>
        <charset val="1"/>
      </rPr>
      <t xml:space="preserve">2026/8</t>
    </r>
    <r>
      <rPr>
        <sz val="9"/>
        <color rgb="FF000000"/>
        <rFont val="WenQuanYi Zen Hei"/>
        <family val="2"/>
      </rPr>
      <t xml:space="preserve">）</t>
    </r>
  </si>
  <si>
    <t xml:space="preserve">https://cloud.watch.impress.co.jp/docs/news/2133207.html</t>
  </si>
  <si>
    <r>
      <rPr>
        <sz val="9"/>
        <color rgb="FF000000"/>
        <rFont val="Meiryo UI"/>
        <family val="0"/>
        <charset val="1"/>
      </rPr>
      <t xml:space="preserve">IM C8010/C6510</t>
    </r>
    <r>
      <rPr>
        <sz val="9"/>
        <color rgb="FF000000"/>
        <rFont val="WenQuanYi Zen Hei"/>
        <family val="2"/>
      </rPr>
      <t xml:space="preserve">リリース（</t>
    </r>
    <r>
      <rPr>
        <sz val="9"/>
        <color rgb="FF000000"/>
        <rFont val="Meiryo UI"/>
        <family val="0"/>
        <charset val="1"/>
      </rPr>
      <t xml:space="preserve">2025/5/21</t>
    </r>
    <r>
      <rPr>
        <sz val="9"/>
        <color rgb="FF000000"/>
        <rFont val="WenQuanYi Zen Hei"/>
        <family val="2"/>
      </rPr>
      <t xml:space="preserve">）</t>
    </r>
  </si>
  <si>
    <t xml:space="preserve">https://jp.ricoh.com/release/2025/0521_1</t>
  </si>
  <si>
    <r>
      <rPr>
        <sz val="9"/>
        <color rgb="FF000000"/>
        <rFont val="WenQuanYi Zen Hei"/>
        <family val="2"/>
      </rPr>
      <t xml:space="preserve">再生機</t>
    </r>
    <r>
      <rPr>
        <sz val="9"/>
        <color rgb="FF000000"/>
        <rFont val="Meiryo UI"/>
        <family val="0"/>
        <charset val="1"/>
      </rPr>
      <t xml:space="preserve">CE</t>
    </r>
    <r>
      <rPr>
        <sz val="9"/>
        <color rgb="FF000000"/>
        <rFont val="WenQuanYi Zen Hei"/>
        <family val="2"/>
      </rPr>
      <t xml:space="preserve">シリーズ（</t>
    </r>
    <r>
      <rPr>
        <sz val="9"/>
        <color rgb="FF000000"/>
        <rFont val="Meiryo UI"/>
        <family val="0"/>
        <charset val="1"/>
      </rPr>
      <t xml:space="preserve">2025/7/15</t>
    </r>
    <r>
      <rPr>
        <sz val="9"/>
        <color rgb="FF000000"/>
        <rFont val="WenQuanYi Zen Hei"/>
        <family val="2"/>
      </rPr>
      <t xml:space="preserve">）</t>
    </r>
  </si>
  <si>
    <t xml:space="preserve">https://jp.ricoh.com/release/2025/0715_1</t>
  </si>
  <si>
    <r>
      <rPr>
        <sz val="9"/>
        <color rgb="FF000000"/>
        <rFont val="Meiryo UI"/>
        <family val="0"/>
        <charset val="1"/>
      </rPr>
      <t xml:space="preserve">IM 7010</t>
    </r>
    <r>
      <rPr>
        <sz val="9"/>
        <color rgb="FF000000"/>
        <rFont val="WenQuanYi Zen Hei"/>
        <family val="2"/>
      </rPr>
      <t xml:space="preserve">リリース（</t>
    </r>
    <r>
      <rPr>
        <sz val="9"/>
        <color rgb="FF000000"/>
        <rFont val="Meiryo UI"/>
        <family val="0"/>
        <charset val="1"/>
      </rPr>
      <t xml:space="preserve">2026/5/25</t>
    </r>
    <r>
      <rPr>
        <sz val="9"/>
        <color rgb="FF000000"/>
        <rFont val="WenQuanYi Zen Hei"/>
        <family val="2"/>
      </rPr>
      <t xml:space="preserve">）</t>
    </r>
  </si>
  <si>
    <t xml:space="preserve">https://jp.ricoh.com/release/2026/0525_1</t>
  </si>
  <si>
    <r>
      <rPr>
        <sz val="9"/>
        <color rgb="FF000000"/>
        <rFont val="WenQuanYi Zen Hei"/>
        <family val="2"/>
      </rPr>
      <t xml:space="preserve">新</t>
    </r>
    <r>
      <rPr>
        <sz val="9"/>
        <color rgb="FF000000"/>
        <rFont val="Meiryo UI"/>
        <family val="0"/>
        <charset val="1"/>
      </rPr>
      <t xml:space="preserve">BP</t>
    </r>
    <r>
      <rPr>
        <sz val="9"/>
        <color rgb="FF000000"/>
        <rFont val="WenQuanYi Zen Hei"/>
        <family val="2"/>
      </rPr>
      <t xml:space="preserve">シリーズ</t>
    </r>
    <r>
      <rPr>
        <sz val="9"/>
        <color rgb="FF000000"/>
        <rFont val="Meiryo UI"/>
        <family val="0"/>
        <charset val="1"/>
      </rPr>
      <t xml:space="preserve">16</t>
    </r>
    <r>
      <rPr>
        <sz val="9"/>
        <color rgb="FF000000"/>
        <rFont val="WenQuanYi Zen Hei"/>
        <family val="2"/>
      </rPr>
      <t xml:space="preserve">機種リリース（</t>
    </r>
    <r>
      <rPr>
        <sz val="9"/>
        <color rgb="FF000000"/>
        <rFont val="Meiryo UI"/>
        <family val="0"/>
        <charset val="1"/>
      </rPr>
      <t xml:space="preserve">2025/10/9</t>
    </r>
    <r>
      <rPr>
        <sz val="9"/>
        <color rgb="FF000000"/>
        <rFont val="WenQuanYi Zen Hei"/>
        <family val="2"/>
      </rPr>
      <t xml:space="preserve">）</t>
    </r>
  </si>
  <si>
    <t xml:space="preserve">https://corporate.jp.sharp/news/251009-a.html</t>
  </si>
  <si>
    <r>
      <rPr>
        <sz val="9"/>
        <color rgb="FF000000"/>
        <rFont val="Meiryo UI"/>
        <family val="0"/>
        <charset val="1"/>
      </rPr>
      <t xml:space="preserve">BP-22C20</t>
    </r>
    <r>
      <rPr>
        <sz val="9"/>
        <color rgb="FF000000"/>
        <rFont val="WenQuanYi Zen Hei"/>
        <family val="2"/>
      </rPr>
      <t xml:space="preserve">リリース（</t>
    </r>
    <r>
      <rPr>
        <sz val="9"/>
        <color rgb="FF000000"/>
        <rFont val="Meiryo UI"/>
        <family val="0"/>
        <charset val="1"/>
      </rPr>
      <t xml:space="preserve">2025/3/18</t>
    </r>
    <r>
      <rPr>
        <sz val="9"/>
        <color rgb="FF000000"/>
        <rFont val="WenQuanYi Zen Hei"/>
        <family val="2"/>
      </rPr>
      <t xml:space="preserve">）</t>
    </r>
  </si>
  <si>
    <t xml:space="preserve">https://corporate.jp.sharp/news/250318-a.html</t>
  </si>
  <si>
    <r>
      <rPr>
        <sz val="9"/>
        <color rgb="FF000000"/>
        <rFont val="Meiryo UI"/>
        <family val="0"/>
        <charset val="1"/>
      </rPr>
      <t xml:space="preserve">2024</t>
    </r>
    <r>
      <rPr>
        <sz val="9"/>
        <color rgb="FF000000"/>
        <rFont val="WenQuanYi Zen Hei"/>
        <family val="2"/>
      </rPr>
      <t xml:space="preserve">年度決算資料</t>
    </r>
  </si>
  <si>
    <t xml:space="preserve">https://corporate.jp.sharp/ir/library/financial/pdf/2025/4/2503_4pre.pdf</t>
  </si>
  <si>
    <r>
      <rPr>
        <sz val="9"/>
        <color rgb="FF000000"/>
        <rFont val="Meiryo UI"/>
        <family val="0"/>
        <charset val="1"/>
      </rPr>
      <t xml:space="preserve">bizhub 1i</t>
    </r>
    <r>
      <rPr>
        <sz val="9"/>
        <color rgb="FF000000"/>
        <rFont val="WenQuanYi Zen Hei"/>
        <family val="2"/>
      </rPr>
      <t xml:space="preserve">シリーズリリース（</t>
    </r>
    <r>
      <rPr>
        <sz val="9"/>
        <color rgb="FF000000"/>
        <rFont val="Meiryo UI"/>
        <family val="0"/>
        <charset val="1"/>
      </rPr>
      <t xml:space="preserve">2024/5/15</t>
    </r>
    <r>
      <rPr>
        <sz val="9"/>
        <color rgb="FF000000"/>
        <rFont val="WenQuanYi Zen Hei"/>
        <family val="2"/>
      </rPr>
      <t xml:space="preserve">）</t>
    </r>
  </si>
  <si>
    <t xml:space="preserve">https://www.konicaminolta.com/jp-ja/newsroom/2024/0515-01-01.html</t>
  </si>
  <si>
    <r>
      <rPr>
        <sz val="9"/>
        <color rgb="FF000000"/>
        <rFont val="Meiryo UI"/>
        <family val="0"/>
        <charset val="1"/>
      </rPr>
      <t xml:space="preserve">bizhub C288i</t>
    </r>
    <r>
      <rPr>
        <sz val="9"/>
        <color rgb="FF000000"/>
        <rFont val="WenQuanYi Zen Hei"/>
        <family val="2"/>
      </rPr>
      <t xml:space="preserve">リリース（</t>
    </r>
    <r>
      <rPr>
        <sz val="9"/>
        <color rgb="FF000000"/>
        <rFont val="Meiryo UI"/>
        <family val="0"/>
        <charset val="1"/>
      </rPr>
      <t xml:space="preserve">2026/5/21</t>
    </r>
    <r>
      <rPr>
        <sz val="9"/>
        <color rgb="FF000000"/>
        <rFont val="WenQuanYi Zen Hei"/>
        <family val="2"/>
      </rPr>
      <t xml:space="preserve">）</t>
    </r>
  </si>
  <si>
    <t xml:space="preserve">https://www.konicaminolta.com/jp-ja/newsroom/2026/0521-01-01.html</t>
  </si>
  <si>
    <r>
      <rPr>
        <sz val="9"/>
        <color rgb="FF000000"/>
        <rFont val="Meiryo UI"/>
        <family val="0"/>
        <charset val="1"/>
      </rPr>
      <t xml:space="preserve">bizhub RM</t>
    </r>
    <r>
      <rPr>
        <sz val="9"/>
        <color rgb="FF000000"/>
        <rFont val="WenQuanYi Zen Hei"/>
        <family val="2"/>
      </rPr>
      <t xml:space="preserve">シリーズ（再製造機・</t>
    </r>
    <r>
      <rPr>
        <sz val="9"/>
        <color rgb="FF000000"/>
        <rFont val="Meiryo UI"/>
        <family val="0"/>
        <charset val="1"/>
      </rPr>
      <t xml:space="preserve">2026/6/15</t>
    </r>
    <r>
      <rPr>
        <sz val="9"/>
        <color rgb="FF000000"/>
        <rFont val="WenQuanYi Zen Hei"/>
        <family val="2"/>
      </rPr>
      <t xml:space="preserve">）</t>
    </r>
  </si>
  <si>
    <t xml:space="preserve">https://www.konicaminolta.com/jp-ja/newsroom/2026/0615-01-01.html</t>
  </si>
  <si>
    <t xml:space="preserve">市場・業界</t>
  </si>
  <si>
    <r>
      <rPr>
        <sz val="9"/>
        <color rgb="FF000000"/>
        <rFont val="WenQuanYi Zen Hei"/>
        <family val="2"/>
      </rPr>
      <t xml:space="preserve">電波新聞デジタル「</t>
    </r>
    <r>
      <rPr>
        <sz val="9"/>
        <color rgb="FF000000"/>
        <rFont val="Meiryo UI"/>
        <family val="0"/>
        <charset val="1"/>
      </rPr>
      <t xml:space="preserve">2025</t>
    </r>
    <r>
      <rPr>
        <sz val="9"/>
        <color rgb="FF000000"/>
        <rFont val="WenQuanYi Zen Hei"/>
        <family val="2"/>
      </rPr>
      <t xml:space="preserve">市場</t>
    </r>
    <r>
      <rPr>
        <sz val="9"/>
        <color rgb="FF000000"/>
        <rFont val="Meiryo UI"/>
        <family val="0"/>
        <charset val="1"/>
      </rPr>
      <t xml:space="preserve">/</t>
    </r>
    <r>
      <rPr>
        <sz val="9"/>
        <color rgb="FF000000"/>
        <rFont val="WenQuanYi Zen Hei"/>
        <family val="2"/>
      </rPr>
      <t xml:space="preserve">技術トレンド 複合機」</t>
    </r>
  </si>
  <si>
    <t xml:space="preserve">https://dempa-digital.com/article/626804</t>
  </si>
  <si>
    <r>
      <rPr>
        <sz val="9"/>
        <color rgb="FF000000"/>
        <rFont val="Meiryo UI"/>
        <family val="0"/>
        <charset val="1"/>
      </rPr>
      <t xml:space="preserve">JBMIA </t>
    </r>
    <r>
      <rPr>
        <sz val="9"/>
        <color rgb="FF000000"/>
        <rFont val="WenQuanYi Zen Hei"/>
        <family val="2"/>
      </rPr>
      <t xml:space="preserve">統計データ</t>
    </r>
  </si>
  <si>
    <t xml:space="preserve">https://www.jbmia.or.jp/statistical_data/list.php?t=CMShipped</t>
  </si>
  <si>
    <r>
      <rPr>
        <sz val="9"/>
        <color rgb="FF000000"/>
        <rFont val="Meiryo UI"/>
        <family val="0"/>
        <charset val="1"/>
      </rPr>
      <t xml:space="preserve">ETRIA</t>
    </r>
    <r>
      <rPr>
        <sz val="9"/>
        <color rgb="FF000000"/>
        <rFont val="WenQuanYi Zen Hei"/>
        <family val="2"/>
      </rPr>
      <t xml:space="preserve">（</t>
    </r>
    <r>
      <rPr>
        <sz val="9"/>
        <color rgb="FF000000"/>
        <rFont val="Meiryo UI"/>
        <family val="0"/>
        <charset val="1"/>
      </rPr>
      <t xml:space="preserve">OKI</t>
    </r>
    <r>
      <rPr>
        <sz val="9"/>
        <color rgb="FF000000"/>
        <rFont val="WenQuanYi Zen Hei"/>
        <family val="2"/>
      </rPr>
      <t xml:space="preserve">参画・</t>
    </r>
    <r>
      <rPr>
        <sz val="9"/>
        <color rgb="FF000000"/>
        <rFont val="Meiryo UI"/>
        <family val="0"/>
        <charset val="1"/>
      </rPr>
      <t xml:space="preserve">2025/10</t>
    </r>
    <r>
      <rPr>
        <sz val="9"/>
        <color rgb="FF000000"/>
        <rFont val="WenQuanYi Zen Hei"/>
        <family val="2"/>
      </rPr>
      <t xml:space="preserve">）</t>
    </r>
  </si>
  <si>
    <t xml:space="preserve">https://www.oki.com/jp/press/2025/10/z25046.html</t>
  </si>
  <si>
    <r>
      <rPr>
        <sz val="9"/>
        <color rgb="FF000000"/>
        <rFont val="WenQuanYi Zen Hei"/>
        <family val="2"/>
      </rPr>
      <t xml:space="preserve">調達合弁</t>
    </r>
    <r>
      <rPr>
        <sz val="9"/>
        <color rgb="FF000000"/>
        <rFont val="Meiryo UI"/>
        <family val="0"/>
        <charset val="1"/>
      </rPr>
      <t xml:space="preserve">GPP</t>
    </r>
    <r>
      <rPr>
        <sz val="9"/>
        <color rgb="FF000000"/>
        <rFont val="WenQuanYi Zen Hei"/>
        <family val="2"/>
      </rPr>
      <t xml:space="preserve">設立（</t>
    </r>
    <r>
      <rPr>
        <sz val="9"/>
        <color rgb="FF000000"/>
        <rFont val="Meiryo UI"/>
        <family val="0"/>
        <charset val="1"/>
      </rPr>
      <t xml:space="preserve">2025/1</t>
    </r>
    <r>
      <rPr>
        <sz val="9"/>
        <color rgb="FF000000"/>
        <rFont val="WenQuanYi Zen Hei"/>
        <family val="2"/>
      </rPr>
      <t xml:space="preserve">）</t>
    </r>
  </si>
  <si>
    <t xml:space="preserve">https://www.fujifilm.com/fb/company/news/release/2025/82714</t>
  </si>
  <si>
    <r>
      <rPr>
        <sz val="9"/>
        <color rgb="FF000000"/>
        <rFont val="WenQuanYi Zen Hei"/>
        <family val="2"/>
      </rPr>
      <t xml:space="preserve">国内シェア推定（</t>
    </r>
    <r>
      <rPr>
        <sz val="9"/>
        <color rgb="FF000000"/>
        <rFont val="Meiryo UI"/>
        <family val="0"/>
        <charset val="1"/>
      </rPr>
      <t xml:space="preserve">OFFICE110</t>
    </r>
    <r>
      <rPr>
        <sz val="9"/>
        <color rgb="FF000000"/>
        <rFont val="WenQuanYi Zen Hei"/>
        <family val="2"/>
      </rPr>
      <t xml:space="preserve">）</t>
    </r>
  </si>
  <si>
    <t xml:space="preserve">https://office110.jp/copy/knowledge/basic/share/</t>
  </si>
  <si>
    <r>
      <rPr>
        <sz val="9"/>
        <color rgb="FF000000"/>
        <rFont val="WenQuanYi Zen Hei"/>
        <family val="2"/>
      </rPr>
      <t xml:space="preserve">国内シェア独自調査（コピー機</t>
    </r>
    <r>
      <rPr>
        <sz val="9"/>
        <color rgb="FF000000"/>
        <rFont val="Meiryo UI"/>
        <family val="0"/>
        <charset val="1"/>
      </rPr>
      <t xml:space="preserve">G</t>
    </r>
    <r>
      <rPr>
        <sz val="9"/>
        <color rgb="FF000000"/>
        <rFont val="WenQuanYi Zen Hei"/>
        <family val="2"/>
      </rPr>
      <t xml:space="preserve">メン）</t>
    </r>
  </si>
  <si>
    <t xml:space="preserve">https://www.copyki-gmen.com/fukugoki/archives/1195</t>
  </si>
  <si>
    <t xml:space="preserve">価格参考</t>
  </si>
  <si>
    <r>
      <rPr>
        <sz val="9"/>
        <color rgb="FF000000"/>
        <rFont val="WenQuanYi Zen Hei"/>
        <family val="2"/>
      </rPr>
      <t xml:space="preserve">販社系サイト（コピー機</t>
    </r>
    <r>
      <rPr>
        <sz val="9"/>
        <color rgb="FF000000"/>
        <rFont val="Meiryo UI"/>
        <family val="0"/>
        <charset val="1"/>
      </rPr>
      <t xml:space="preserve">G</t>
    </r>
    <r>
      <rPr>
        <sz val="9"/>
        <color rgb="FF000000"/>
        <rFont val="WenQuanYi Zen Hei"/>
        <family val="2"/>
      </rPr>
      <t xml:space="preserve">メン／事務機器ねっと／すぐ保守コピー機 等）</t>
    </r>
  </si>
  <si>
    <t xml:space="preserve">各製品ページ（※印の価格の出典）</t>
  </si>
</sst>
</file>

<file path=xl/styles.xml><?xml version="1.0" encoding="utf-8"?>
<styleSheet xmlns="http://schemas.openxmlformats.org/spreadsheetml/2006/main">
  <numFmts count="6">
    <numFmt numFmtId="164" formatCode="General"/>
    <numFmt numFmtId="165" formatCode="#,##0&quot;万台&quot;"/>
    <numFmt numFmtId="166" formatCode="0.0%"/>
    <numFmt numFmtId="167" formatCode="#,##0.0"/>
    <numFmt numFmtId="168" formatCode="0"/>
    <numFmt numFmtId="169" formatCode="0.0"/>
  </numFmts>
  <fonts count="44">
    <font>
      <sz val="11"/>
      <color theme="1"/>
      <name val="Calibri"/>
      <family val="2"/>
      <charset val="1"/>
    </font>
    <font>
      <sz val="10"/>
      <name val="Arial"/>
      <family val="0"/>
    </font>
    <font>
      <sz val="10"/>
      <name val="Arial"/>
      <family val="0"/>
    </font>
    <font>
      <sz val="10"/>
      <name val="Arial"/>
      <family val="0"/>
    </font>
    <font>
      <b val="true"/>
      <sz val="24"/>
      <color rgb="FF1F3864"/>
      <name val="WenQuanYi Zen Hei"/>
      <family val="2"/>
    </font>
    <font>
      <sz val="13"/>
      <color rgb="FF2E5395"/>
      <name val="WenQuanYi Zen Hei"/>
      <family val="2"/>
    </font>
    <font>
      <sz val="13"/>
      <color rgb="FF2E5395"/>
      <name val="Meiryo UI"/>
      <family val="0"/>
      <charset val="1"/>
    </font>
    <font>
      <sz val="11"/>
      <color rgb="FF000000"/>
      <name val="WenQuanYi Zen Hei"/>
      <family val="2"/>
    </font>
    <font>
      <sz val="10"/>
      <color rgb="FF808080"/>
      <name val="WenQuanYi Zen Hei"/>
      <family val="2"/>
    </font>
    <font>
      <sz val="10"/>
      <color rgb="FF808080"/>
      <name val="Meiryo UI"/>
      <family val="0"/>
      <charset val="1"/>
    </font>
    <font>
      <b val="true"/>
      <sz val="11"/>
      <color rgb="FFFFFFFF"/>
      <name val="WenQuanYi Zen Hei"/>
      <family val="2"/>
    </font>
    <font>
      <b val="true"/>
      <sz val="10"/>
      <color rgb="FFFFFFFF"/>
      <name val="WenQuanYi Zen Hei"/>
      <family val="2"/>
    </font>
    <font>
      <b val="true"/>
      <sz val="10"/>
      <color rgb="FF1F3864"/>
      <name val="WenQuanYi Zen Hei"/>
      <family val="2"/>
    </font>
    <font>
      <sz val="10"/>
      <color rgb="FF000000"/>
      <name val="WenQuanYi Zen Hei"/>
      <family val="2"/>
    </font>
    <font>
      <sz val="10"/>
      <color rgb="FF000000"/>
      <name val="Meiryo UI"/>
      <family val="0"/>
      <charset val="1"/>
    </font>
    <font>
      <b val="true"/>
      <sz val="10"/>
      <color rgb="FF1F3864"/>
      <name val="Meiryo UI"/>
      <family val="0"/>
      <charset val="1"/>
    </font>
    <font>
      <sz val="9.5"/>
      <color rgb="FF000000"/>
      <name val="Meiryo UI"/>
      <family val="0"/>
      <charset val="1"/>
    </font>
    <font>
      <b val="true"/>
      <sz val="16"/>
      <color rgb="FF1F3864"/>
      <name val="WenQuanYi Zen Hei"/>
      <family val="2"/>
    </font>
    <font>
      <b val="true"/>
      <sz val="11"/>
      <color rgb="FFFFFFFF"/>
      <name val="Meiryo UI"/>
      <family val="0"/>
      <charset val="1"/>
    </font>
    <font>
      <b val="true"/>
      <sz val="10"/>
      <color rgb="FFFFFFFF"/>
      <name val="Meiryo UI"/>
      <family val="0"/>
      <charset val="1"/>
    </font>
    <font>
      <b val="true"/>
      <sz val="9.5"/>
      <color rgb="FF000000"/>
      <name val="WenQuanYi Zen Hei"/>
      <family val="2"/>
    </font>
    <font>
      <sz val="9"/>
      <color rgb="FF000000"/>
      <name val="WenQuanYi Zen Hei"/>
      <family val="2"/>
    </font>
    <font>
      <sz val="9"/>
      <color rgb="FF000000"/>
      <name val="Meiryo UI"/>
      <family val="0"/>
      <charset val="1"/>
    </font>
    <font>
      <b val="true"/>
      <sz val="9.5"/>
      <color rgb="FF000000"/>
      <name val="Meiryo UI"/>
      <family val="0"/>
      <charset val="1"/>
    </font>
    <font>
      <b val="true"/>
      <sz val="9.5"/>
      <color rgb="FF1F3864"/>
      <name val="WenQuanYi Zen Hei"/>
      <family val="2"/>
    </font>
    <font>
      <sz val="9.5"/>
      <color rgb="FF000000"/>
      <name val="WenQuanYi Zen Hei"/>
      <family val="2"/>
    </font>
    <font>
      <b val="true"/>
      <sz val="9.5"/>
      <color rgb="FF1F3864"/>
      <name val="Meiryo UI"/>
      <family val="0"/>
      <charset val="1"/>
    </font>
    <font>
      <b val="true"/>
      <sz val="14"/>
      <color rgb="FF1F3864"/>
      <name val="WenQuanYi Zen Hei"/>
      <family val="2"/>
    </font>
    <font>
      <b val="true"/>
      <sz val="10"/>
      <color rgb="FF000000"/>
      <name val="WenQuanYi Zen Hei"/>
      <family val="2"/>
    </font>
    <font>
      <b val="true"/>
      <sz val="10"/>
      <color rgb="FF000000"/>
      <name val="Meiryo UI"/>
      <family val="0"/>
      <charset val="1"/>
    </font>
    <font>
      <i val="true"/>
      <sz val="8.5"/>
      <color rgb="FF808080"/>
      <name val="WenQuanYi Zen Hei"/>
      <family val="2"/>
    </font>
    <font>
      <i val="true"/>
      <sz val="8.5"/>
      <color rgb="FF808080"/>
      <name val="Meiryo UI"/>
      <family val="0"/>
      <charset val="1"/>
    </font>
    <font>
      <b val="true"/>
      <sz val="9"/>
      <color rgb="FF000000"/>
      <name val="WenQuanYi Zen Hei"/>
      <family val="2"/>
    </font>
    <font>
      <b val="true"/>
      <sz val="9"/>
      <color rgb="FF000000"/>
      <name val="Meiryo UI"/>
      <family val="0"/>
      <charset val="1"/>
    </font>
    <font>
      <b val="true"/>
      <sz val="14"/>
      <color rgb="FF1F3864"/>
      <name val="Meiryo UI"/>
      <family val="0"/>
      <charset val="1"/>
    </font>
    <font>
      <sz val="8.5"/>
      <color rgb="FF000000"/>
      <name val="WenQuanYi Zen Hei"/>
      <family val="2"/>
    </font>
    <font>
      <sz val="8.5"/>
      <color rgb="FF000000"/>
      <name val="Meiryo UI"/>
      <family val="0"/>
      <charset val="1"/>
    </font>
    <font>
      <b val="true"/>
      <sz val="9"/>
      <color rgb="FF1F3864"/>
      <name val="Meiryo UI"/>
      <family val="0"/>
      <charset val="1"/>
    </font>
    <font>
      <b val="true"/>
      <sz val="18"/>
      <color rgb="FF000000"/>
      <name val="WenQuanYi Zen Hei"/>
      <family val="2"/>
    </font>
    <font>
      <sz val="10"/>
      <color rgb="FF000000"/>
      <name val="Calibri"/>
      <family val="2"/>
    </font>
    <font>
      <sz val="8.5"/>
      <color rgb="FF808080"/>
      <name val="WenQuanYi Zen Hei"/>
      <family val="2"/>
    </font>
    <font>
      <b val="true"/>
      <sz val="18"/>
      <color rgb="FF000000"/>
      <name val="Calibri"/>
      <family val="2"/>
    </font>
    <font>
      <sz val="8.5"/>
      <color rgb="FF0563C1"/>
      <name val="Meiryo UI"/>
      <family val="0"/>
      <charset val="1"/>
    </font>
    <font>
      <sz val="8.5"/>
      <color rgb="FF0563C1"/>
      <name val="WenQuanYi Zen Hei"/>
      <family val="2"/>
    </font>
  </fonts>
  <fills count="9">
    <fill>
      <patternFill patternType="none"/>
    </fill>
    <fill>
      <patternFill patternType="gray125"/>
    </fill>
    <fill>
      <patternFill patternType="solid">
        <fgColor rgb="FF1F3864"/>
        <bgColor rgb="FF333333"/>
      </patternFill>
    </fill>
    <fill>
      <patternFill patternType="solid">
        <fgColor rgb="FF2E5395"/>
        <bgColor rgb="FF1F3864"/>
      </patternFill>
    </fill>
    <fill>
      <patternFill patternType="solid">
        <fgColor rgb="FFF2F5FA"/>
        <bgColor rgb="FFFFFFFF"/>
      </patternFill>
    </fill>
    <fill>
      <patternFill patternType="solid">
        <fgColor rgb="FFFFF2CC"/>
        <bgColor rgb="FFFCE4D6"/>
      </patternFill>
    </fill>
    <fill>
      <patternFill patternType="solid">
        <fgColor rgb="FFD9E2F1"/>
        <bgColor rgb="FFD9D9D9"/>
      </patternFill>
    </fill>
    <fill>
      <patternFill patternType="solid">
        <fgColor rgb="FFE2EFDA"/>
        <bgColor rgb="FFD9E2F1"/>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2" borderId="1" xfId="0" applyFont="true" applyBorder="true" applyAlignment="true" applyProtection="false">
      <alignment horizontal="left" vertical="center" textRotation="0" wrapText="true" indent="0" shrinkToFit="false"/>
      <protection locked="true" hidden="false"/>
    </xf>
    <xf numFmtId="164" fontId="20" fillId="6" borderId="1" xfId="0" applyFont="true" applyBorder="true" applyAlignment="true" applyProtection="false">
      <alignment horizontal="left" vertical="center"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24" fillId="6" borderId="1" xfId="0" applyFont="true" applyBorder="true" applyAlignment="true" applyProtection="false">
      <alignment horizontal="left"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25" fillId="0" borderId="1" xfId="0" applyFont="true" applyBorder="true" applyAlignment="true" applyProtection="false">
      <alignment horizontal="left" vertical="center" textRotation="0" wrapText="true" indent="0" shrinkToFit="false"/>
      <protection locked="true" hidden="false"/>
    </xf>
    <xf numFmtId="164" fontId="26" fillId="6"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6" borderId="1" xfId="0" applyFont="true" applyBorder="true" applyAlignment="true" applyProtection="false">
      <alignment horizontal="left" vertical="center" textRotation="0" wrapText="true" indent="0" shrinkToFit="false"/>
      <protection locked="true" hidden="false"/>
    </xf>
    <xf numFmtId="165" fontId="14" fillId="0" borderId="1" xfId="0" applyFont="true" applyBorder="true" applyAlignment="true" applyProtection="false">
      <alignment horizontal="right"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left" vertical="center" textRotation="0" wrapText="true" indent="0" shrinkToFit="false"/>
      <protection locked="true" hidden="false"/>
    </xf>
    <xf numFmtId="166" fontId="14" fillId="0" borderId="1" xfId="0" applyFont="true" applyBorder="true" applyAlignment="true" applyProtection="false">
      <alignment horizontal="right" vertical="center" textRotation="0" wrapText="true" indent="0" shrinkToFit="false"/>
      <protection locked="true" hidden="false"/>
    </xf>
    <xf numFmtId="164" fontId="21" fillId="0" borderId="1" xfId="0" applyFont="true" applyBorder="true" applyAlignment="true" applyProtection="false">
      <alignment horizontal="left" vertical="center" textRotation="0" wrapText="true" indent="0" shrinkToFit="false"/>
      <protection locked="true" hidden="false"/>
    </xf>
    <xf numFmtId="164" fontId="29" fillId="6" borderId="1" xfId="0" applyFont="true" applyBorder="true" applyAlignment="true" applyProtection="false">
      <alignment horizontal="left" vertical="center" textRotation="0" wrapText="true" indent="0" shrinkToFit="false"/>
      <protection locked="true" hidden="false"/>
    </xf>
    <xf numFmtId="164" fontId="30" fillId="0" borderId="0" xfId="0" applyFont="true" applyBorder="true" applyAlignment="true" applyProtection="false">
      <alignment horizontal="left" vertical="top" textRotation="0" wrapText="true" indent="0" shrinkToFit="false"/>
      <protection locked="true" hidden="false"/>
    </xf>
    <xf numFmtId="167" fontId="14" fillId="0" borderId="1" xfId="0" applyFont="true" applyBorder="true" applyAlignment="true" applyProtection="false">
      <alignment horizontal="right" vertical="center" textRotation="0" wrapText="true" indent="0" shrinkToFit="false"/>
      <protection locked="true" hidden="false"/>
    </xf>
    <xf numFmtId="164" fontId="31" fillId="0" borderId="0" xfId="0" applyFont="true" applyBorder="true" applyAlignment="true" applyProtection="false">
      <alignment horizontal="left" vertical="top" textRotation="0" wrapText="true" indent="0" shrinkToFit="false"/>
      <protection locked="true" hidden="false"/>
    </xf>
    <xf numFmtId="164" fontId="32" fillId="6" borderId="1" xfId="0" applyFont="true" applyBorder="true" applyAlignment="true" applyProtection="false">
      <alignment horizontal="left"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33" fillId="6" borderId="1" xfId="0" applyFont="true" applyBorder="true" applyAlignment="true" applyProtection="false">
      <alignment horizontal="left" vertical="center" textRotation="0" wrapText="true" indent="0" shrinkToFit="false"/>
      <protection locked="true" hidden="false"/>
    </xf>
    <xf numFmtId="164" fontId="23" fillId="6" borderId="1" xfId="0" applyFont="true" applyBorder="true" applyAlignment="true" applyProtection="false">
      <alignment horizontal="left" vertical="center" textRotation="0" wrapText="true" indent="0" shrinkToFit="false"/>
      <protection locked="true" hidden="false"/>
    </xf>
    <xf numFmtId="164" fontId="21" fillId="5" borderId="1" xfId="0" applyFont="true" applyBorder="true" applyAlignment="true" applyProtection="false">
      <alignment horizontal="left" vertical="top" textRotation="0" wrapText="true" indent="0" shrinkToFit="false"/>
      <protection locked="true" hidden="false"/>
    </xf>
    <xf numFmtId="164" fontId="32" fillId="0" borderId="1" xfId="0" applyFont="true" applyBorder="true" applyAlignment="true" applyProtection="false">
      <alignment horizontal="left" vertical="center" textRotation="0" wrapText="true" indent="0" shrinkToFit="false"/>
      <protection locked="true" hidden="false"/>
    </xf>
    <xf numFmtId="168" fontId="22" fillId="0" borderId="1" xfId="0" applyFont="true" applyBorder="true" applyAlignment="true" applyProtection="false">
      <alignment horizontal="right" vertical="center" textRotation="0" wrapText="true" indent="0" shrinkToFit="false"/>
      <protection locked="true" hidden="false"/>
    </xf>
    <xf numFmtId="167" fontId="22" fillId="0" borderId="1" xfId="0" applyFont="true" applyBorder="true" applyAlignment="true" applyProtection="false">
      <alignment horizontal="right" vertical="center" textRotation="0" wrapText="true" indent="0" shrinkToFit="false"/>
      <protection locked="true" hidden="false"/>
    </xf>
    <xf numFmtId="164" fontId="35" fillId="0" borderId="1" xfId="0" applyFont="true" applyBorder="true" applyAlignment="true" applyProtection="false">
      <alignment horizontal="left" vertical="center" textRotation="0" wrapText="true" indent="0" shrinkToFit="false"/>
      <protection locked="true" hidden="false"/>
    </xf>
    <xf numFmtId="164" fontId="36" fillId="0" borderId="1" xfId="0" applyFont="true" applyBorder="true" applyAlignment="true" applyProtection="false">
      <alignment horizontal="left" vertical="center" textRotation="0" wrapText="true" indent="0" shrinkToFit="false"/>
      <protection locked="true" hidden="false"/>
    </xf>
    <xf numFmtId="168" fontId="16" fillId="0" borderId="1" xfId="0" applyFont="true" applyBorder="true" applyAlignment="true" applyProtection="false">
      <alignment horizontal="right" vertical="center" textRotation="0" wrapText="true" indent="0" shrinkToFit="false"/>
      <protection locked="true" hidden="false"/>
    </xf>
    <xf numFmtId="167" fontId="16" fillId="0" borderId="1" xfId="0" applyFont="true" applyBorder="true" applyAlignment="true" applyProtection="false">
      <alignment horizontal="right" vertical="center" textRotation="0" wrapText="tru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8" fontId="22" fillId="0" borderId="1" xfId="0" applyFont="true" applyBorder="true" applyAlignment="true" applyProtection="false">
      <alignment horizontal="center" vertical="center" textRotation="0" wrapText="true" indent="0" shrinkToFit="false"/>
      <protection locked="true" hidden="false"/>
    </xf>
    <xf numFmtId="167" fontId="37" fillId="0" borderId="1" xfId="0" applyFont="true" applyBorder="true" applyAlignment="true" applyProtection="false">
      <alignment horizontal="center" vertical="center" textRotation="0" wrapText="true" indent="0" shrinkToFit="false"/>
      <protection locked="true" hidden="false"/>
    </xf>
    <xf numFmtId="169" fontId="22" fillId="4" borderId="1" xfId="0" applyFont="true" applyBorder="true" applyAlignment="true" applyProtection="false">
      <alignment horizontal="center" vertical="center" textRotation="0" wrapText="true" indent="0" shrinkToFit="false"/>
      <protection locked="true" hidden="false"/>
    </xf>
    <xf numFmtId="167" fontId="22" fillId="0" borderId="1" xfId="0" applyFont="true" applyBorder="true" applyAlignment="true" applyProtection="false">
      <alignment horizontal="center" vertical="center" textRotation="0" wrapText="true" indent="0" shrinkToFit="false"/>
      <protection locked="true" hidden="false"/>
    </xf>
    <xf numFmtId="168" fontId="29" fillId="7" borderId="1" xfId="0" applyFont="true" applyBorder="true" applyAlignment="true" applyProtection="false">
      <alignment horizontal="center" vertical="center" textRotation="0" wrapText="true" indent="0" shrinkToFit="false"/>
      <protection locked="true" hidden="false"/>
    </xf>
    <xf numFmtId="168" fontId="14" fillId="0" borderId="1" xfId="0" applyFont="true" applyBorder="true" applyAlignment="true" applyProtection="false">
      <alignment horizontal="center" vertical="center" textRotation="0" wrapText="true" indent="0" shrinkToFit="false"/>
      <protection locked="true" hidden="false"/>
    </xf>
    <xf numFmtId="168" fontId="14" fillId="8"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8" fontId="19" fillId="3" borderId="1" xfId="0" applyFont="true" applyBorder="true" applyAlignment="true" applyProtection="false">
      <alignment horizontal="center" vertical="center" textRotation="0" wrapText="true" indent="0" shrinkToFit="false"/>
      <protection locked="true" hidden="false"/>
    </xf>
    <xf numFmtId="164" fontId="22" fillId="3" borderId="1" xfId="0" applyFont="true" applyBorder="true" applyAlignment="false" applyProtection="false">
      <alignment horizontal="general" vertical="bottom" textRotation="0" wrapText="false" indent="0" shrinkToFit="false"/>
      <protection locked="true" hidden="false"/>
    </xf>
    <xf numFmtId="168" fontId="15" fillId="0" borderId="1" xfId="0" applyFont="true" applyBorder="true" applyAlignment="true" applyProtection="false">
      <alignment horizontal="center" vertical="center" textRotation="0" wrapText="true" indent="0" shrinkToFit="false"/>
      <protection locked="true" hidden="false"/>
    </xf>
    <xf numFmtId="164" fontId="40" fillId="0" borderId="1" xfId="0" applyFont="true" applyBorder="true" applyAlignment="true" applyProtection="false">
      <alignment horizontal="left" vertical="center" textRotation="0" wrapText="true" indent="0" shrinkToFit="false"/>
      <protection locked="true" hidden="false"/>
    </xf>
    <xf numFmtId="164" fontId="32" fillId="6" borderId="1" xfId="0" applyFont="true" applyBorder="true" applyAlignment="true" applyProtection="false">
      <alignment horizontal="center" vertical="center" textRotation="0" wrapText="true" indent="0" shrinkToFit="false"/>
      <protection locked="true" hidden="false"/>
    </xf>
    <xf numFmtId="164" fontId="25" fillId="5" borderId="1" xfId="0" applyFont="true" applyBorder="true" applyAlignment="true" applyProtection="false">
      <alignment horizontal="left" vertical="center" textRotation="0" wrapText="true" indent="0" shrinkToFit="false"/>
      <protection locked="true" hidden="false"/>
    </xf>
    <xf numFmtId="164" fontId="19" fillId="3" borderId="1" xfId="0" applyFont="true" applyBorder="true" applyAlignment="true" applyProtection="false">
      <alignment horizontal="center" vertical="center" textRotation="0" wrapText="true" indent="0" shrinkToFit="false"/>
      <protection locked="true" hidden="false"/>
    </xf>
    <xf numFmtId="164" fontId="42" fillId="0" borderId="1" xfId="0" applyFont="true" applyBorder="true" applyAlignment="true" applyProtection="false">
      <alignment horizontal="left" vertical="center" textRotation="0" wrapText="true" indent="0" shrinkToFit="false"/>
      <protection locked="true" hidden="false"/>
    </xf>
    <xf numFmtId="164" fontId="43"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0504D"/>
      <rgbColor rgb="FFFFF2CC"/>
      <rgbColor rgb="FFF2F5F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9E2F1"/>
      <rgbColor rgb="FFE2EFDA"/>
      <rgbColor rgb="FFFFFF99"/>
      <rgbColor rgb="FF99CCFF"/>
      <rgbColor rgb="FFFF99CC"/>
      <rgbColor rgb="FFCC99FF"/>
      <rgbColor rgb="FFFCE4D6"/>
      <rgbColor rgb="FF4F81BD"/>
      <rgbColor rgb="FF33CCCC"/>
      <rgbColor rgb="FF9BBB59"/>
      <rgbColor rgb="FFFFCC00"/>
      <rgbColor rgb="FFFF9900"/>
      <rgbColor rgb="FFFF6600"/>
      <rgbColor rgb="FF8064A2"/>
      <rgbColor rgb="FF878787"/>
      <rgbColor rgb="FF1F3864"/>
      <rgbColor rgb="FF339966"/>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速度帯別 標準価格比較（万円・税別）</a:t>
            </a:r>
          </a:p>
        </c:rich>
      </c:tx>
      <c:overlay val="0"/>
      <c:spPr>
        <a:noFill/>
        <a:ln w="0">
          <a:noFill/>
        </a:ln>
      </c:spPr>
    </c:title>
    <c:autoTitleDeleted val="0"/>
    <c:plotArea>
      <c:barChart>
        <c:barDir val="col"/>
        <c:grouping val="clustered"/>
        <c:varyColors val="0"/>
        <c:ser>
          <c:idx val="0"/>
          <c:order val="0"/>
          <c:tx>
            <c:strRef>
              <c:f>価格・速度分析!B41</c:f>
              <c:strCache>
                <c:ptCount val="1"/>
                <c:pt idx="0">
                  <c:v>20〜30ppm帯</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価格・速度分析!$C$40:$G$40</c:f>
              <c:strCache>
                <c:ptCount val="5"/>
                <c:pt idx="0">
                  <c:v>富士フイルムBI</c:v>
                </c:pt>
                <c:pt idx="1">
                  <c:v>キヤノン</c:v>
                </c:pt>
                <c:pt idx="2">
                  <c:v>リコー</c:v>
                </c:pt>
                <c:pt idx="3">
                  <c:v>シャープ</c:v>
                </c:pt>
                <c:pt idx="4">
                  <c:v>コニカミノルタ</c:v>
                </c:pt>
              </c:strCache>
            </c:strRef>
          </c:cat>
          <c:val>
            <c:numRef>
              <c:f>価格・速度分析!$C$41:$G$41</c:f>
              <c:numCache>
                <c:formatCode>#,##0.0</c:formatCode>
                <c:ptCount val="5"/>
                <c:pt idx="0">
                  <c:v>238</c:v>
                </c:pt>
                <c:pt idx="1">
                  <c:v>177</c:v>
                </c:pt>
                <c:pt idx="2">
                  <c:v>136</c:v>
                </c:pt>
                <c:pt idx="3">
                  <c:v>155</c:v>
                </c:pt>
                <c:pt idx="4">
                  <c:v>127</c:v>
                </c:pt>
              </c:numCache>
            </c:numRef>
          </c:val>
        </c:ser>
        <c:ser>
          <c:idx val="1"/>
          <c:order val="1"/>
          <c:tx>
            <c:strRef>
              <c:f>価格・速度分析!B42</c:f>
              <c:strCache>
                <c:ptCount val="1"/>
                <c:pt idx="0">
                  <c:v>40〜50ppm帯</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価格・速度分析!$C$40:$G$40</c:f>
              <c:strCache>
                <c:ptCount val="5"/>
                <c:pt idx="0">
                  <c:v>富士フイルムBI</c:v>
                </c:pt>
                <c:pt idx="1">
                  <c:v>キヤノン</c:v>
                </c:pt>
                <c:pt idx="2">
                  <c:v>リコー</c:v>
                </c:pt>
                <c:pt idx="3">
                  <c:v>シャープ</c:v>
                </c:pt>
                <c:pt idx="4">
                  <c:v>コニカミノルタ</c:v>
                </c:pt>
              </c:strCache>
            </c:strRef>
          </c:cat>
          <c:val>
            <c:numRef>
              <c:f>価格・速度分析!$C$42:$G$42</c:f>
              <c:numCache>
                <c:formatCode>#,##0.0</c:formatCode>
                <c:ptCount val="5"/>
                <c:pt idx="0">
                  <c:v>0</c:v>
                </c:pt>
                <c:pt idx="1">
                  <c:v>308</c:v>
                </c:pt>
                <c:pt idx="2">
                  <c:v>218</c:v>
                </c:pt>
                <c:pt idx="3">
                  <c:v>243</c:v>
                </c:pt>
                <c:pt idx="4">
                  <c:v>270.5</c:v>
                </c:pt>
              </c:numCache>
            </c:numRef>
          </c:val>
        </c:ser>
        <c:ser>
          <c:idx val="2"/>
          <c:order val="2"/>
          <c:tx>
            <c:strRef>
              <c:f>価格・速度分析!B43</c:f>
              <c:strCache>
                <c:ptCount val="1"/>
                <c:pt idx="0">
                  <c:v>55〜65ppm帯</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価格・速度分析!$C$40:$G$40</c:f>
              <c:strCache>
                <c:ptCount val="5"/>
                <c:pt idx="0">
                  <c:v>富士フイルムBI</c:v>
                </c:pt>
                <c:pt idx="1">
                  <c:v>キヤノン</c:v>
                </c:pt>
                <c:pt idx="2">
                  <c:v>リコー</c:v>
                </c:pt>
                <c:pt idx="3">
                  <c:v>シャープ</c:v>
                </c:pt>
                <c:pt idx="4">
                  <c:v>コニカミノルタ</c:v>
                </c:pt>
              </c:strCache>
            </c:strRef>
          </c:cat>
          <c:val>
            <c:numRef>
              <c:f>価格・速度分析!$C$43:$G$43</c:f>
              <c:numCache>
                <c:formatCode>#,##0.0</c:formatCode>
                <c:ptCount val="5"/>
                <c:pt idx="0">
                  <c:v>0</c:v>
                </c:pt>
                <c:pt idx="1">
                  <c:v>436</c:v>
                </c:pt>
                <c:pt idx="2">
                  <c:v>308</c:v>
                </c:pt>
                <c:pt idx="3">
                  <c:v>291</c:v>
                </c:pt>
                <c:pt idx="4">
                  <c:v>0</c:v>
                </c:pt>
              </c:numCache>
            </c:numRef>
          </c:val>
        </c:ser>
        <c:ser>
          <c:idx val="3"/>
          <c:order val="3"/>
          <c:tx>
            <c:strRef>
              <c:f>価格・速度分析!B44</c:f>
              <c:strCache>
                <c:ptCount val="1"/>
                <c:pt idx="0">
                  <c:v>70ppm以上</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価格・速度分析!$C$40:$G$40</c:f>
              <c:strCache>
                <c:ptCount val="5"/>
                <c:pt idx="0">
                  <c:v>富士フイルムBI</c:v>
                </c:pt>
                <c:pt idx="1">
                  <c:v>キヤノン</c:v>
                </c:pt>
                <c:pt idx="2">
                  <c:v>リコー</c:v>
                </c:pt>
                <c:pt idx="3">
                  <c:v>シャープ</c:v>
                </c:pt>
                <c:pt idx="4">
                  <c:v>コニカミノルタ</c:v>
                </c:pt>
              </c:strCache>
            </c:strRef>
          </c:cat>
          <c:val>
            <c:numRef>
              <c:f>価格・速度分析!$C$44:$G$44</c:f>
              <c:numCache>
                <c:formatCode>#,##0.0</c:formatCode>
                <c:ptCount val="5"/>
                <c:pt idx="0">
                  <c:v>551.8</c:v>
                </c:pt>
                <c:pt idx="1">
                  <c:v>400</c:v>
                </c:pt>
                <c:pt idx="2">
                  <c:v>329</c:v>
                </c:pt>
                <c:pt idx="3">
                  <c:v>0</c:v>
                </c:pt>
                <c:pt idx="4">
                  <c:v>471.9</c:v>
                </c:pt>
              </c:numCache>
            </c:numRef>
          </c:val>
        </c:ser>
        <c:gapWidth val="150"/>
        <c:overlap val="0"/>
        <c:axId val="98297583"/>
        <c:axId val="6742757"/>
      </c:barChart>
      <c:catAx>
        <c:axId val="982975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42757"/>
        <c:crosses val="autoZero"/>
        <c:auto val="1"/>
        <c:lblAlgn val="ctr"/>
        <c:lblOffset val="100"/>
        <c:noMultiLvlLbl val="0"/>
      </c:catAx>
      <c:valAx>
        <c:axId val="67427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万円</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29758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総合スコア比較（40点満点・当社定性評価）</a:t>
            </a:r>
          </a:p>
        </c:rich>
      </c:tx>
      <c:overlay val="0"/>
      <c:spPr>
        <a:noFill/>
        <a:ln w="0">
          <a:noFill/>
        </a:ln>
      </c:spPr>
    </c:title>
    <c:autoTitleDeleted val="0"/>
    <c:plotArea>
      <c:barChart>
        <c:barDir val="col"/>
        <c:grouping val="clustered"/>
        <c:varyColors val="0"/>
        <c:ser>
          <c:idx val="0"/>
          <c:order val="0"/>
          <c:tx>
            <c:strRef>
              <c:f>機能・サービス評価!B13</c:f>
              <c:strCache>
                <c:ptCount val="1"/>
                <c:pt idx="0">
                  <c:v>合計（40点満点）</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機能・サービス評価!$C$4:$G$4</c:f>
              <c:strCache>
                <c:ptCount val="5"/>
                <c:pt idx="0">
                  <c:v>富士フイルムBI</c:v>
                </c:pt>
                <c:pt idx="1">
                  <c:v>キヤノン</c:v>
                </c:pt>
                <c:pt idx="2">
                  <c:v>リコー</c:v>
                </c:pt>
                <c:pt idx="3">
                  <c:v>シャープ</c:v>
                </c:pt>
                <c:pt idx="4">
                  <c:v>コニカミノルタ</c:v>
                </c:pt>
              </c:strCache>
            </c:strRef>
          </c:cat>
          <c:val>
            <c:numRef>
              <c:f>機能・サービス評価!$C$13:$G$13</c:f>
              <c:numCache>
                <c:formatCode>0</c:formatCode>
                <c:ptCount val="5"/>
                <c:pt idx="0">
                  <c:v>34</c:v>
                </c:pt>
                <c:pt idx="1">
                  <c:v>35</c:v>
                </c:pt>
                <c:pt idx="2">
                  <c:v>36</c:v>
                </c:pt>
                <c:pt idx="3">
                  <c:v>29</c:v>
                </c:pt>
                <c:pt idx="4">
                  <c:v>30</c:v>
                </c:pt>
              </c:numCache>
            </c:numRef>
          </c:val>
        </c:ser>
        <c:gapWidth val="150"/>
        <c:overlap val="0"/>
        <c:axId val="80463671"/>
        <c:axId val="35017171"/>
      </c:barChart>
      <c:catAx>
        <c:axId val="804636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017171"/>
        <c:crosses val="autoZero"/>
        <c:auto val="1"/>
        <c:lblAlgn val="ctr"/>
        <c:lblOffset val="100"/>
        <c:noMultiLvlLbl val="0"/>
      </c:catAx>
      <c:valAx>
        <c:axId val="35017171"/>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46367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45</xdr:row>
      <xdr:rowOff>134640</xdr:rowOff>
    </xdr:from>
    <xdr:to>
      <xdr:col>5</xdr:col>
      <xdr:colOff>638640</xdr:colOff>
      <xdr:row>62</xdr:row>
      <xdr:rowOff>136080</xdr:rowOff>
    </xdr:to>
    <xdr:graphicFrame>
      <xdr:nvGraphicFramePr>
        <xdr:cNvPr id="0" name="Chart 1"/>
        <xdr:cNvGraphicFramePr/>
      </xdr:nvGraphicFramePr>
      <xdr:xfrm>
        <a:off x="177840" y="11087280"/>
        <a:ext cx="86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14</xdr:row>
      <xdr:rowOff>134640</xdr:rowOff>
    </xdr:from>
    <xdr:to>
      <xdr:col>5</xdr:col>
      <xdr:colOff>434520</xdr:colOff>
      <xdr:row>29</xdr:row>
      <xdr:rowOff>156600</xdr:rowOff>
    </xdr:to>
    <xdr:graphicFrame>
      <xdr:nvGraphicFramePr>
        <xdr:cNvPr id="1" name="Chart 1"/>
        <xdr:cNvGraphicFramePr/>
      </xdr:nvGraphicFramePr>
      <xdr:xfrm>
        <a:off x="177840" y="463860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C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60"/>
    <col collapsed="false" customWidth="true" hidden="false" outlineLevel="0" max="4" min="4" style="0" width="18"/>
  </cols>
  <sheetData>
    <row r="3" customFormat="false" ht="39.75" hidden="false" customHeight="true" outlineLevel="0" collapsed="false">
      <c r="B3" s="1" t="s">
        <v>0</v>
      </c>
    </row>
    <row r="4" customFormat="false" ht="19.5" hidden="false" customHeight="true" outlineLevel="0" collapsed="false">
      <c r="B4" s="2" t="s">
        <v>1</v>
      </c>
    </row>
    <row r="6" customFormat="false" ht="18" hidden="false" customHeight="true" outlineLevel="0" collapsed="false">
      <c r="B6" s="3" t="s">
        <v>2</v>
      </c>
    </row>
    <row r="7" customFormat="false" ht="39.55" hidden="false" customHeight="false" outlineLevel="0" collapsed="false">
      <c r="B7" s="4" t="s">
        <v>3</v>
      </c>
    </row>
    <row r="9" customFormat="false" ht="21.75" hidden="false" customHeight="true" outlineLevel="0" collapsed="false">
      <c r="B9" s="5" t="s">
        <v>4</v>
      </c>
      <c r="C9" s="5"/>
    </row>
    <row r="10" customFormat="false" ht="24" hidden="false" customHeight="true" outlineLevel="0" collapsed="false">
      <c r="B10" s="6" t="s">
        <v>5</v>
      </c>
      <c r="C10" s="6" t="s">
        <v>6</v>
      </c>
    </row>
    <row r="11" customFormat="false" ht="19.5" hidden="false" customHeight="true" outlineLevel="0" collapsed="false">
      <c r="B11" s="7" t="s">
        <v>7</v>
      </c>
      <c r="C11" s="8" t="s">
        <v>8</v>
      </c>
    </row>
    <row r="12" customFormat="false" ht="19.5" hidden="false" customHeight="true" outlineLevel="0" collapsed="false">
      <c r="B12" s="9" t="s">
        <v>9</v>
      </c>
      <c r="C12" s="10" t="s">
        <v>10</v>
      </c>
    </row>
    <row r="13" customFormat="false" ht="19.5" hidden="false" customHeight="true" outlineLevel="0" collapsed="false">
      <c r="B13" s="7" t="s">
        <v>11</v>
      </c>
      <c r="C13" s="11" t="s">
        <v>12</v>
      </c>
    </row>
    <row r="14" customFormat="false" ht="19.5" hidden="false" customHeight="true" outlineLevel="0" collapsed="false">
      <c r="B14" s="9" t="s">
        <v>13</v>
      </c>
      <c r="C14" s="10" t="s">
        <v>14</v>
      </c>
    </row>
    <row r="15" customFormat="false" ht="19.5" hidden="false" customHeight="true" outlineLevel="0" collapsed="false">
      <c r="B15" s="7" t="s">
        <v>15</v>
      </c>
      <c r="C15" s="8" t="s">
        <v>16</v>
      </c>
    </row>
    <row r="16" customFormat="false" ht="19.5" hidden="false" customHeight="true" outlineLevel="0" collapsed="false">
      <c r="B16" s="9" t="s">
        <v>17</v>
      </c>
      <c r="C16" s="12" t="s">
        <v>18</v>
      </c>
    </row>
    <row r="17" customFormat="false" ht="19.5" hidden="false" customHeight="true" outlineLevel="0" collapsed="false">
      <c r="B17" s="7" t="s">
        <v>19</v>
      </c>
      <c r="C17" s="11" t="s">
        <v>20</v>
      </c>
    </row>
    <row r="18" customFormat="false" ht="19.5" hidden="false" customHeight="true" outlineLevel="0" collapsed="false">
      <c r="B18" s="9" t="s">
        <v>21</v>
      </c>
      <c r="C18" s="10" t="s">
        <v>22</v>
      </c>
    </row>
    <row r="20" customFormat="false" ht="21.75" hidden="false" customHeight="true" outlineLevel="0" collapsed="false">
      <c r="B20" s="5" t="s">
        <v>23</v>
      </c>
      <c r="C20" s="5"/>
    </row>
    <row r="21" customFormat="false" ht="18" hidden="false" customHeight="true" outlineLevel="0" collapsed="false">
      <c r="B21" s="13"/>
      <c r="C21" s="13"/>
    </row>
    <row r="22" customFormat="false" ht="18" hidden="false" customHeight="true" outlineLevel="0" collapsed="false">
      <c r="B22" s="13"/>
      <c r="C22" s="13"/>
    </row>
    <row r="23" customFormat="false" ht="18" hidden="false" customHeight="true" outlineLevel="0" collapsed="false">
      <c r="B23" s="13"/>
      <c r="C23" s="13"/>
    </row>
    <row r="24" customFormat="false" ht="18" hidden="false" customHeight="true" outlineLevel="0" collapsed="false">
      <c r="B24" s="13"/>
      <c r="C24" s="13"/>
    </row>
  </sheetData>
  <mergeCells count="6">
    <mergeCell ref="B9:C9"/>
    <mergeCell ref="B20:C20"/>
    <mergeCell ref="B21:C21"/>
    <mergeCell ref="B22:C22"/>
    <mergeCell ref="B23:C23"/>
    <mergeCell ref="B24:C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7" min="3" style="0" width="24"/>
  </cols>
  <sheetData>
    <row r="2" customFormat="false" ht="25.5" hidden="false" customHeight="true" outlineLevel="0" collapsed="false">
      <c r="B2" s="14" t="s">
        <v>24</v>
      </c>
    </row>
    <row r="4" customFormat="false" ht="21.75" hidden="false" customHeight="true" outlineLevel="0" collapsed="false">
      <c r="B4" s="15" t="s">
        <v>25</v>
      </c>
      <c r="C4" s="15"/>
      <c r="D4" s="15"/>
      <c r="E4" s="15"/>
      <c r="F4" s="15"/>
      <c r="G4" s="15"/>
    </row>
    <row r="5" customFormat="false" ht="30" hidden="false" customHeight="true" outlineLevel="0" collapsed="false">
      <c r="B5" s="8" t="s">
        <v>26</v>
      </c>
      <c r="C5" s="8"/>
      <c r="D5" s="8"/>
      <c r="E5" s="8"/>
      <c r="F5" s="8"/>
      <c r="G5" s="8"/>
    </row>
    <row r="6" customFormat="false" ht="30" hidden="false" customHeight="true" outlineLevel="0" collapsed="false">
      <c r="B6" s="8" t="s">
        <v>27</v>
      </c>
      <c r="C6" s="8"/>
      <c r="D6" s="8"/>
      <c r="E6" s="8"/>
      <c r="F6" s="8"/>
      <c r="G6" s="8"/>
    </row>
    <row r="7" customFormat="false" ht="30" hidden="false" customHeight="true" outlineLevel="0" collapsed="false">
      <c r="B7" s="11" t="s">
        <v>28</v>
      </c>
      <c r="C7" s="11"/>
      <c r="D7" s="11"/>
      <c r="E7" s="11"/>
      <c r="F7" s="11"/>
      <c r="G7" s="11"/>
    </row>
    <row r="9" customFormat="false" ht="21.75" hidden="false" customHeight="true" outlineLevel="0" collapsed="false">
      <c r="B9" s="15" t="s">
        <v>29</v>
      </c>
      <c r="C9" s="15"/>
      <c r="D9" s="15"/>
      <c r="E9" s="15"/>
      <c r="F9" s="15"/>
      <c r="G9" s="15"/>
    </row>
    <row r="10" customFormat="false" ht="24" hidden="false" customHeight="true" outlineLevel="0" collapsed="false">
      <c r="B10" s="6" t="s">
        <v>30</v>
      </c>
      <c r="C10" s="6" t="s">
        <v>31</v>
      </c>
      <c r="D10" s="6" t="s">
        <v>32</v>
      </c>
      <c r="E10" s="6" t="s">
        <v>33</v>
      </c>
      <c r="F10" s="6" t="s">
        <v>34</v>
      </c>
      <c r="G10" s="6" t="s">
        <v>35</v>
      </c>
    </row>
    <row r="11" customFormat="false" ht="45.75" hidden="false" customHeight="true" outlineLevel="0" collapsed="false">
      <c r="B11" s="16" t="s">
        <v>36</v>
      </c>
      <c r="C11" s="17" t="s">
        <v>37</v>
      </c>
      <c r="D11" s="17" t="s">
        <v>38</v>
      </c>
      <c r="E11" s="18" t="s">
        <v>39</v>
      </c>
      <c r="F11" s="18" t="s">
        <v>40</v>
      </c>
      <c r="G11" s="18" t="s">
        <v>41</v>
      </c>
    </row>
    <row r="12" customFormat="false" ht="45.75" hidden="false" customHeight="true" outlineLevel="0" collapsed="false">
      <c r="B12" s="16" t="s">
        <v>42</v>
      </c>
      <c r="C12" s="18" t="s">
        <v>43</v>
      </c>
      <c r="D12" s="18" t="s">
        <v>44</v>
      </c>
      <c r="E12" s="18" t="s">
        <v>45</v>
      </c>
      <c r="F12" s="18" t="s">
        <v>46</v>
      </c>
      <c r="G12" s="18" t="s">
        <v>47</v>
      </c>
    </row>
    <row r="13" customFormat="false" ht="45.75" hidden="false" customHeight="true" outlineLevel="0" collapsed="false">
      <c r="B13" s="16" t="s">
        <v>48</v>
      </c>
      <c r="C13" s="18" t="s">
        <v>49</v>
      </c>
      <c r="D13" s="18" t="s">
        <v>50</v>
      </c>
      <c r="E13" s="18" t="s">
        <v>51</v>
      </c>
      <c r="F13" s="17" t="s">
        <v>52</v>
      </c>
      <c r="G13" s="18" t="s">
        <v>53</v>
      </c>
    </row>
    <row r="14" customFormat="false" ht="45.75" hidden="false" customHeight="true" outlineLevel="0" collapsed="false">
      <c r="B14" s="16" t="s">
        <v>54</v>
      </c>
      <c r="C14" s="17" t="s">
        <v>55</v>
      </c>
      <c r="D14" s="17" t="s">
        <v>56</v>
      </c>
      <c r="E14" s="18" t="s">
        <v>57</v>
      </c>
      <c r="F14" s="17" t="s">
        <v>58</v>
      </c>
      <c r="G14" s="17" t="s">
        <v>59</v>
      </c>
    </row>
    <row r="16" customFormat="false" ht="21.75" hidden="false" customHeight="true" outlineLevel="0" collapsed="false">
      <c r="B16" s="15" t="s">
        <v>60</v>
      </c>
      <c r="C16" s="15"/>
      <c r="D16" s="15"/>
      <c r="E16" s="15"/>
      <c r="F16" s="15"/>
      <c r="G16" s="15"/>
    </row>
    <row r="17" customFormat="false" ht="39.75" hidden="false" customHeight="true" outlineLevel="0" collapsed="false">
      <c r="B17" s="19" t="s">
        <v>61</v>
      </c>
      <c r="C17" s="20" t="s">
        <v>62</v>
      </c>
      <c r="D17" s="20"/>
      <c r="E17" s="20"/>
      <c r="F17" s="20"/>
      <c r="G17" s="20"/>
    </row>
    <row r="18" customFormat="false" ht="39.75" hidden="false" customHeight="true" outlineLevel="0" collapsed="false">
      <c r="B18" s="19" t="s">
        <v>63</v>
      </c>
      <c r="C18" s="20" t="s">
        <v>64</v>
      </c>
      <c r="D18" s="20"/>
      <c r="E18" s="20"/>
      <c r="F18" s="20"/>
      <c r="G18" s="20"/>
    </row>
    <row r="19" customFormat="false" ht="39.75" hidden="false" customHeight="true" outlineLevel="0" collapsed="false">
      <c r="B19" s="19" t="s">
        <v>65</v>
      </c>
      <c r="C19" s="21" t="s">
        <v>66</v>
      </c>
      <c r="D19" s="21"/>
      <c r="E19" s="21"/>
      <c r="F19" s="21"/>
      <c r="G19" s="21"/>
    </row>
    <row r="20" customFormat="false" ht="39.75" hidden="false" customHeight="true" outlineLevel="0" collapsed="false">
      <c r="B20" s="22" t="s">
        <v>67</v>
      </c>
      <c r="C20" s="21" t="s">
        <v>68</v>
      </c>
      <c r="D20" s="21"/>
      <c r="E20" s="21"/>
      <c r="F20" s="21"/>
      <c r="G20" s="21"/>
    </row>
    <row r="21" customFormat="false" ht="39.75" hidden="false" customHeight="true" outlineLevel="0" collapsed="false">
      <c r="B21" s="19" t="s">
        <v>69</v>
      </c>
      <c r="C21" s="21" t="s">
        <v>70</v>
      </c>
      <c r="D21" s="21"/>
      <c r="E21" s="21"/>
      <c r="F21" s="21"/>
      <c r="G21" s="21"/>
    </row>
    <row r="22" customFormat="false" ht="39.75" hidden="false" customHeight="true" outlineLevel="0" collapsed="false">
      <c r="B22" s="19" t="s">
        <v>71</v>
      </c>
      <c r="C22" s="21" t="s">
        <v>72</v>
      </c>
      <c r="D22" s="21"/>
      <c r="E22" s="21"/>
      <c r="F22" s="21"/>
      <c r="G22" s="21"/>
    </row>
    <row r="23" customFormat="false" ht="39.75" hidden="false" customHeight="true" outlineLevel="0" collapsed="false">
      <c r="B23" s="19" t="s">
        <v>73</v>
      </c>
      <c r="C23" s="20" t="s">
        <v>74</v>
      </c>
      <c r="D23" s="20"/>
      <c r="E23" s="20"/>
      <c r="F23" s="20"/>
      <c r="G23" s="20"/>
    </row>
    <row r="25" customFormat="false" ht="21.75" hidden="false" customHeight="true" outlineLevel="0" collapsed="false">
      <c r="B25" s="15" t="s">
        <v>75</v>
      </c>
      <c r="C25" s="15"/>
      <c r="D25" s="15"/>
      <c r="E25" s="15"/>
      <c r="F25" s="15"/>
      <c r="G25" s="15"/>
    </row>
    <row r="26" customFormat="false" ht="31.5" hidden="false" customHeight="true" outlineLevel="0" collapsed="false">
      <c r="B26" s="23" t="s">
        <v>76</v>
      </c>
      <c r="C26" s="23"/>
      <c r="D26" s="23"/>
      <c r="E26" s="23"/>
      <c r="F26" s="23"/>
      <c r="G26" s="23"/>
    </row>
    <row r="27" customFormat="false" ht="31.5" hidden="false" customHeight="true" outlineLevel="0" collapsed="false">
      <c r="B27" s="23" t="s">
        <v>77</v>
      </c>
      <c r="C27" s="23"/>
      <c r="D27" s="23"/>
      <c r="E27" s="23"/>
      <c r="F27" s="23"/>
      <c r="G27" s="23"/>
    </row>
    <row r="28" customFormat="false" ht="31.5" hidden="false" customHeight="true" outlineLevel="0" collapsed="false">
      <c r="B28" s="23" t="s">
        <v>78</v>
      </c>
      <c r="C28" s="23"/>
      <c r="D28" s="23"/>
      <c r="E28" s="23"/>
      <c r="F28" s="23"/>
      <c r="G28" s="23"/>
    </row>
  </sheetData>
  <mergeCells count="17">
    <mergeCell ref="B4:G4"/>
    <mergeCell ref="B5:G5"/>
    <mergeCell ref="B6:G6"/>
    <mergeCell ref="B7:G7"/>
    <mergeCell ref="B9:G9"/>
    <mergeCell ref="B16:G16"/>
    <mergeCell ref="C17:G17"/>
    <mergeCell ref="C18:G18"/>
    <mergeCell ref="C19:G19"/>
    <mergeCell ref="C20:G20"/>
    <mergeCell ref="C21:G21"/>
    <mergeCell ref="C22:G22"/>
    <mergeCell ref="C23:G23"/>
    <mergeCell ref="B25:G25"/>
    <mergeCell ref="B26:G26"/>
    <mergeCell ref="B27:G27"/>
    <mergeCell ref="B28:G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5" min="3" style="0" width="20"/>
    <col collapsed="false" customWidth="true" hidden="false" outlineLevel="0" max="6" min="6" style="0" width="46"/>
  </cols>
  <sheetData>
    <row r="2" customFormat="false" ht="17.35" hidden="false" customHeight="false" outlineLevel="0" collapsed="false">
      <c r="B2" s="24" t="s">
        <v>79</v>
      </c>
    </row>
    <row r="4" customFormat="false" ht="21.75" hidden="false" customHeight="true" outlineLevel="0" collapsed="false">
      <c r="B4" s="15" t="s">
        <v>80</v>
      </c>
      <c r="C4" s="15"/>
      <c r="D4" s="15"/>
      <c r="E4" s="15"/>
      <c r="F4" s="15"/>
    </row>
    <row r="5" customFormat="false" ht="24" hidden="false" customHeight="true" outlineLevel="0" collapsed="false">
      <c r="B5" s="6" t="s">
        <v>81</v>
      </c>
      <c r="C5" s="6" t="s">
        <v>82</v>
      </c>
      <c r="D5" s="6" t="s">
        <v>83</v>
      </c>
      <c r="E5" s="6" t="s">
        <v>84</v>
      </c>
      <c r="F5" s="6" t="s">
        <v>85</v>
      </c>
    </row>
    <row r="6" customFormat="false" ht="19.5" hidden="false" customHeight="true" outlineLevel="0" collapsed="false">
      <c r="B6" s="25" t="s">
        <v>86</v>
      </c>
      <c r="C6" s="26" t="n">
        <v>65</v>
      </c>
      <c r="D6" s="27" t="s">
        <v>87</v>
      </c>
      <c r="E6" s="27" t="s">
        <v>87</v>
      </c>
      <c r="F6" s="28" t="s">
        <v>88</v>
      </c>
    </row>
    <row r="7" customFormat="false" ht="19.5" hidden="false" customHeight="true" outlineLevel="0" collapsed="false">
      <c r="B7" s="25" t="s">
        <v>89</v>
      </c>
      <c r="C7" s="26" t="n">
        <v>55</v>
      </c>
      <c r="D7" s="29" t="n">
        <f aca="false">C7/C6-1</f>
        <v>-0.153846153846154</v>
      </c>
      <c r="E7" s="27" t="s">
        <v>87</v>
      </c>
      <c r="F7" s="30" t="s">
        <v>90</v>
      </c>
    </row>
    <row r="8" customFormat="false" ht="19.5" hidden="false" customHeight="true" outlineLevel="0" collapsed="false">
      <c r="B8" s="31" t="s">
        <v>91</v>
      </c>
      <c r="C8" s="26" t="n">
        <v>45</v>
      </c>
      <c r="D8" s="29" t="n">
        <f aca="false">C8/C6-1</f>
        <v>-0.307692307692308</v>
      </c>
      <c r="E8" s="29" t="n">
        <f aca="false">C8/C7-1</f>
        <v>-0.181818181818182</v>
      </c>
      <c r="F8" s="30" t="s">
        <v>92</v>
      </c>
    </row>
    <row r="9" customFormat="false" ht="15" hidden="false" customHeight="true" outlineLevel="0" collapsed="false">
      <c r="B9" s="32" t="s">
        <v>93</v>
      </c>
      <c r="C9" s="32"/>
      <c r="D9" s="32"/>
      <c r="E9" s="32"/>
      <c r="F9" s="32"/>
    </row>
    <row r="11" customFormat="false" ht="21.75" hidden="false" customHeight="true" outlineLevel="0" collapsed="false">
      <c r="B11" s="15" t="s">
        <v>94</v>
      </c>
      <c r="C11" s="15"/>
      <c r="D11" s="15"/>
      <c r="E11" s="15"/>
      <c r="F11" s="15"/>
    </row>
    <row r="12" customFormat="false" ht="24" hidden="false" customHeight="true" outlineLevel="0" collapsed="false">
      <c r="B12" s="6" t="s">
        <v>95</v>
      </c>
      <c r="C12" s="6" t="s">
        <v>82</v>
      </c>
      <c r="D12" s="6" t="s">
        <v>96</v>
      </c>
      <c r="E12" s="6" t="s">
        <v>97</v>
      </c>
      <c r="F12" s="6" t="s">
        <v>98</v>
      </c>
    </row>
    <row r="13" customFormat="false" ht="19.5" hidden="false" customHeight="true" outlineLevel="0" collapsed="false">
      <c r="B13" s="31" t="s">
        <v>99</v>
      </c>
      <c r="C13" s="33" t="n">
        <v>359.7</v>
      </c>
      <c r="D13" s="33" t="n">
        <v>8076.6</v>
      </c>
      <c r="E13" s="27" t="s">
        <v>87</v>
      </c>
      <c r="F13" s="27" t="s">
        <v>87</v>
      </c>
    </row>
    <row r="14" customFormat="false" ht="19.5" hidden="false" customHeight="true" outlineLevel="0" collapsed="false">
      <c r="B14" s="31" t="s">
        <v>100</v>
      </c>
      <c r="C14" s="33" t="n">
        <v>316.2</v>
      </c>
      <c r="D14" s="33" t="n">
        <v>8047.3</v>
      </c>
      <c r="E14" s="29" t="n">
        <f aca="false">C14/C13-1</f>
        <v>-0.1209341117598</v>
      </c>
      <c r="F14" s="29" t="n">
        <f aca="false">D14/D13-1</f>
        <v>-0.00362776415818544</v>
      </c>
    </row>
    <row r="15" customFormat="false" ht="15" hidden="false" customHeight="true" outlineLevel="0" collapsed="false">
      <c r="B15" s="34" t="s">
        <v>101</v>
      </c>
      <c r="C15" s="34"/>
      <c r="D15" s="34"/>
      <c r="E15" s="34"/>
      <c r="F15" s="34"/>
    </row>
    <row r="17" customFormat="false" ht="21.75" hidden="false" customHeight="true" outlineLevel="0" collapsed="false">
      <c r="B17" s="15" t="s">
        <v>102</v>
      </c>
      <c r="C17" s="15"/>
      <c r="D17" s="15"/>
      <c r="E17" s="15"/>
      <c r="F17" s="15"/>
    </row>
    <row r="18" customFormat="false" ht="24" hidden="false" customHeight="true" outlineLevel="0" collapsed="false">
      <c r="B18" s="6" t="s">
        <v>103</v>
      </c>
      <c r="C18" s="6" t="s">
        <v>104</v>
      </c>
      <c r="D18" s="6" t="s">
        <v>34</v>
      </c>
      <c r="E18" s="6" t="s">
        <v>35</v>
      </c>
      <c r="F18" s="6" t="s">
        <v>85</v>
      </c>
    </row>
    <row r="19" customFormat="false" ht="33.75" hidden="false" customHeight="true" outlineLevel="0" collapsed="false">
      <c r="B19" s="35" t="s">
        <v>105</v>
      </c>
      <c r="C19" s="30" t="s">
        <v>106</v>
      </c>
      <c r="D19" s="36" t="s">
        <v>87</v>
      </c>
      <c r="E19" s="36" t="s">
        <v>87</v>
      </c>
      <c r="F19" s="30" t="s">
        <v>107</v>
      </c>
    </row>
    <row r="20" customFormat="false" ht="33.75" hidden="false" customHeight="true" outlineLevel="0" collapsed="false">
      <c r="B20" s="35" t="s">
        <v>108</v>
      </c>
      <c r="C20" s="30" t="s">
        <v>109</v>
      </c>
      <c r="D20" s="37" t="s">
        <v>110</v>
      </c>
      <c r="E20" s="36" t="s">
        <v>111</v>
      </c>
      <c r="F20" s="30" t="s">
        <v>112</v>
      </c>
    </row>
    <row r="21" customFormat="false" ht="33.75" hidden="false" customHeight="true" outlineLevel="0" collapsed="false">
      <c r="B21" s="35" t="s">
        <v>113</v>
      </c>
      <c r="C21" s="30" t="s">
        <v>114</v>
      </c>
      <c r="D21" s="36" t="s">
        <v>87</v>
      </c>
      <c r="E21" s="36" t="s">
        <v>87</v>
      </c>
      <c r="F21" s="28" t="s">
        <v>115</v>
      </c>
    </row>
    <row r="22" customFormat="false" ht="15" hidden="false" customHeight="true" outlineLevel="0" collapsed="false">
      <c r="B22" s="32" t="s">
        <v>116</v>
      </c>
      <c r="C22" s="32"/>
      <c r="D22" s="32"/>
      <c r="E22" s="32"/>
      <c r="F22" s="32"/>
    </row>
    <row r="24" customFormat="false" ht="21.75" hidden="false" customHeight="true" outlineLevel="0" collapsed="false">
      <c r="B24" s="15" t="s">
        <v>117</v>
      </c>
      <c r="C24" s="15"/>
      <c r="D24" s="15"/>
      <c r="E24" s="15"/>
      <c r="F24" s="15"/>
    </row>
    <row r="25" customFormat="false" ht="24" hidden="false" customHeight="true" outlineLevel="0" collapsed="false">
      <c r="B25" s="6" t="s">
        <v>118</v>
      </c>
      <c r="C25" s="6" t="s">
        <v>6</v>
      </c>
      <c r="D25" s="6"/>
      <c r="E25" s="6"/>
      <c r="F25" s="6" t="s">
        <v>119</v>
      </c>
    </row>
    <row r="26" customFormat="false" ht="33.75" hidden="false" customHeight="true" outlineLevel="0" collapsed="false">
      <c r="B26" s="35" t="s">
        <v>120</v>
      </c>
      <c r="C26" s="30" t="s">
        <v>121</v>
      </c>
      <c r="D26" s="30"/>
      <c r="E26" s="30"/>
      <c r="F26" s="30" t="s">
        <v>122</v>
      </c>
    </row>
    <row r="27" customFormat="false" ht="33.75" hidden="false" customHeight="true" outlineLevel="0" collapsed="false">
      <c r="B27" s="38" t="s">
        <v>123</v>
      </c>
      <c r="C27" s="30" t="s">
        <v>124</v>
      </c>
      <c r="D27" s="30"/>
      <c r="E27" s="30"/>
      <c r="F27" s="30" t="s">
        <v>125</v>
      </c>
    </row>
    <row r="28" customFormat="false" ht="33.75" hidden="false" customHeight="true" outlineLevel="0" collapsed="false">
      <c r="B28" s="35" t="s">
        <v>126</v>
      </c>
      <c r="C28" s="30" t="s">
        <v>127</v>
      </c>
      <c r="D28" s="30"/>
      <c r="E28" s="30"/>
      <c r="F28" s="28" t="s">
        <v>128</v>
      </c>
    </row>
    <row r="29" customFormat="false" ht="33.75" hidden="false" customHeight="true" outlineLevel="0" collapsed="false">
      <c r="B29" s="35" t="s">
        <v>129</v>
      </c>
      <c r="C29" s="28" t="s">
        <v>130</v>
      </c>
      <c r="D29" s="28"/>
      <c r="E29" s="28"/>
      <c r="F29" s="30" t="s">
        <v>131</v>
      </c>
    </row>
    <row r="30" customFormat="false" ht="33.75" hidden="false" customHeight="true" outlineLevel="0" collapsed="false">
      <c r="B30" s="38" t="s">
        <v>132</v>
      </c>
      <c r="C30" s="30" t="s">
        <v>133</v>
      </c>
      <c r="D30" s="30"/>
      <c r="E30" s="30"/>
      <c r="F30" s="30" t="s">
        <v>134</v>
      </c>
    </row>
    <row r="31" customFormat="false" ht="33.75" hidden="false" customHeight="true" outlineLevel="0" collapsed="false">
      <c r="B31" s="35" t="s">
        <v>135</v>
      </c>
      <c r="C31" s="30" t="s">
        <v>136</v>
      </c>
      <c r="D31" s="30"/>
      <c r="E31" s="30"/>
      <c r="F31" s="30" t="s">
        <v>137</v>
      </c>
    </row>
    <row r="33" customFormat="false" ht="21.75" hidden="false" customHeight="true" outlineLevel="0" collapsed="false">
      <c r="B33" s="15" t="s">
        <v>138</v>
      </c>
      <c r="C33" s="15"/>
      <c r="D33" s="15"/>
      <c r="E33" s="15"/>
      <c r="F33" s="15"/>
    </row>
    <row r="34" customFormat="false" ht="24" hidden="false" customHeight="true" outlineLevel="0" collapsed="false">
      <c r="B34" s="6" t="s">
        <v>139</v>
      </c>
      <c r="C34" s="6" t="s">
        <v>140</v>
      </c>
      <c r="D34" s="6" t="s">
        <v>6</v>
      </c>
      <c r="E34" s="6"/>
      <c r="F34" s="6" t="s">
        <v>141</v>
      </c>
    </row>
    <row r="35" customFormat="false" ht="39.75" hidden="false" customHeight="true" outlineLevel="0" collapsed="false">
      <c r="B35" s="38" t="s">
        <v>142</v>
      </c>
      <c r="C35" s="30" t="s">
        <v>143</v>
      </c>
      <c r="D35" s="30" t="s">
        <v>144</v>
      </c>
      <c r="E35" s="30"/>
      <c r="F35" s="30" t="s">
        <v>145</v>
      </c>
    </row>
    <row r="36" customFormat="false" ht="39.75" hidden="false" customHeight="true" outlineLevel="0" collapsed="false">
      <c r="B36" s="35" t="s">
        <v>146</v>
      </c>
      <c r="C36" s="30" t="s">
        <v>147</v>
      </c>
      <c r="D36" s="30" t="s">
        <v>148</v>
      </c>
      <c r="E36" s="30"/>
      <c r="F36" s="30" t="s">
        <v>149</v>
      </c>
    </row>
    <row r="37" customFormat="false" ht="39.75" hidden="false" customHeight="true" outlineLevel="0" collapsed="false">
      <c r="B37" s="35" t="s">
        <v>150</v>
      </c>
      <c r="C37" s="30" t="s">
        <v>151</v>
      </c>
      <c r="D37" s="30" t="s">
        <v>152</v>
      </c>
      <c r="E37" s="30"/>
      <c r="F37" s="30" t="s">
        <v>153</v>
      </c>
    </row>
    <row r="38" customFormat="false" ht="39.75" hidden="false" customHeight="true" outlineLevel="0" collapsed="false">
      <c r="B38" s="35" t="s">
        <v>154</v>
      </c>
      <c r="C38" s="30" t="s">
        <v>155</v>
      </c>
      <c r="D38" s="30" t="s">
        <v>156</v>
      </c>
      <c r="E38" s="30"/>
      <c r="F38" s="30" t="s">
        <v>157</v>
      </c>
    </row>
  </sheetData>
  <mergeCells count="18">
    <mergeCell ref="B4:F4"/>
    <mergeCell ref="B9:F9"/>
    <mergeCell ref="B11:F11"/>
    <mergeCell ref="B15:F15"/>
    <mergeCell ref="B17:F17"/>
    <mergeCell ref="B22:F22"/>
    <mergeCell ref="B24:F24"/>
    <mergeCell ref="C26:E26"/>
    <mergeCell ref="C27:E27"/>
    <mergeCell ref="C28:E28"/>
    <mergeCell ref="C29:E29"/>
    <mergeCell ref="C30:E30"/>
    <mergeCell ref="C31:E31"/>
    <mergeCell ref="B33:F33"/>
    <mergeCell ref="D35:E35"/>
    <mergeCell ref="D36:E36"/>
    <mergeCell ref="D37:E37"/>
    <mergeCell ref="D38:E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7" min="3" style="0" width="34"/>
  </cols>
  <sheetData>
    <row r="2" customFormat="false" ht="19.4" hidden="false" customHeight="false" outlineLevel="0" collapsed="false">
      <c r="B2" s="24" t="s">
        <v>158</v>
      </c>
    </row>
    <row r="3" customFormat="false" ht="15" hidden="false" customHeight="true" outlineLevel="0" collapsed="false">
      <c r="B3" s="32" t="s">
        <v>159</v>
      </c>
      <c r="C3" s="32"/>
      <c r="D3" s="32"/>
      <c r="E3" s="32"/>
      <c r="F3" s="32"/>
      <c r="G3" s="32"/>
    </row>
    <row r="4" customFormat="false" ht="24" hidden="false" customHeight="true" outlineLevel="0" collapsed="false">
      <c r="B4" s="6" t="s">
        <v>160</v>
      </c>
      <c r="C4" s="6" t="s">
        <v>31</v>
      </c>
      <c r="D4" s="6" t="s">
        <v>32</v>
      </c>
      <c r="E4" s="6" t="s">
        <v>33</v>
      </c>
      <c r="F4" s="6" t="s">
        <v>34</v>
      </c>
      <c r="G4" s="6" t="s">
        <v>35</v>
      </c>
    </row>
    <row r="5" customFormat="false" ht="51.75" hidden="false" customHeight="true" outlineLevel="0" collapsed="false">
      <c r="B5" s="16" t="s">
        <v>161</v>
      </c>
      <c r="C5" s="17" t="s">
        <v>162</v>
      </c>
      <c r="D5" s="17" t="s">
        <v>163</v>
      </c>
      <c r="E5" s="17" t="s">
        <v>164</v>
      </c>
      <c r="F5" s="17" t="s">
        <v>165</v>
      </c>
      <c r="G5" s="17" t="s">
        <v>166</v>
      </c>
    </row>
    <row r="6" customFormat="false" ht="51.75" hidden="false" customHeight="true" outlineLevel="0" collapsed="false">
      <c r="B6" s="16" t="s">
        <v>167</v>
      </c>
      <c r="C6" s="18" t="s">
        <v>168</v>
      </c>
      <c r="D6" s="18" t="s">
        <v>169</v>
      </c>
      <c r="E6" s="18" t="s">
        <v>170</v>
      </c>
      <c r="F6" s="18" t="s">
        <v>171</v>
      </c>
      <c r="G6" s="18" t="s">
        <v>172</v>
      </c>
    </row>
    <row r="7" customFormat="false" ht="51.75" hidden="false" customHeight="true" outlineLevel="0" collapsed="false">
      <c r="B7" s="16" t="s">
        <v>173</v>
      </c>
      <c r="C7" s="18" t="s">
        <v>174</v>
      </c>
      <c r="D7" s="17" t="s">
        <v>175</v>
      </c>
      <c r="E7" s="18" t="s">
        <v>176</v>
      </c>
      <c r="F7" s="18" t="s">
        <v>177</v>
      </c>
      <c r="G7" s="18" t="s">
        <v>178</v>
      </c>
    </row>
    <row r="8" customFormat="false" ht="51.75" hidden="false" customHeight="true" outlineLevel="0" collapsed="false">
      <c r="B8" s="16" t="s">
        <v>179</v>
      </c>
      <c r="C8" s="18" t="s">
        <v>180</v>
      </c>
      <c r="D8" s="18" t="s">
        <v>181</v>
      </c>
      <c r="E8" s="18" t="s">
        <v>182</v>
      </c>
      <c r="F8" s="17" t="s">
        <v>183</v>
      </c>
      <c r="G8" s="18" t="s">
        <v>184</v>
      </c>
    </row>
    <row r="9" customFormat="false" ht="51.75" hidden="false" customHeight="true" outlineLevel="0" collapsed="false">
      <c r="B9" s="16" t="s">
        <v>185</v>
      </c>
      <c r="C9" s="18" t="s">
        <v>186</v>
      </c>
      <c r="D9" s="18" t="s">
        <v>187</v>
      </c>
      <c r="E9" s="18" t="s">
        <v>188</v>
      </c>
      <c r="F9" s="18" t="s">
        <v>189</v>
      </c>
      <c r="G9" s="18" t="s">
        <v>190</v>
      </c>
    </row>
    <row r="10" customFormat="false" ht="51.75" hidden="false" customHeight="true" outlineLevel="0" collapsed="false">
      <c r="B10" s="39" t="s">
        <v>191</v>
      </c>
      <c r="C10" s="18" t="s">
        <v>192</v>
      </c>
      <c r="D10" s="18" t="s">
        <v>193</v>
      </c>
      <c r="E10" s="18" t="s">
        <v>194</v>
      </c>
      <c r="F10" s="18" t="s">
        <v>195</v>
      </c>
      <c r="G10" s="18" t="s">
        <v>196</v>
      </c>
    </row>
    <row r="11" customFormat="false" ht="51.75" hidden="false" customHeight="true" outlineLevel="0" collapsed="false">
      <c r="B11" s="39" t="s">
        <v>197</v>
      </c>
      <c r="C11" s="17" t="s">
        <v>198</v>
      </c>
      <c r="D11" s="17" t="s">
        <v>199</v>
      </c>
      <c r="E11" s="17" t="s">
        <v>200</v>
      </c>
      <c r="F11" s="17" t="s">
        <v>201</v>
      </c>
      <c r="G11" s="17" t="s">
        <v>202</v>
      </c>
    </row>
    <row r="12" customFormat="false" ht="51.75" hidden="false" customHeight="true" outlineLevel="0" collapsed="false">
      <c r="B12" s="39" t="s">
        <v>203</v>
      </c>
      <c r="C12" s="18" t="s">
        <v>204</v>
      </c>
      <c r="D12" s="18" t="s">
        <v>205</v>
      </c>
      <c r="E12" s="18" t="s">
        <v>206</v>
      </c>
      <c r="F12" s="18" t="s">
        <v>207</v>
      </c>
      <c r="G12" s="18" t="s">
        <v>208</v>
      </c>
    </row>
    <row r="13" customFormat="false" ht="51.75" hidden="false" customHeight="true" outlineLevel="0" collapsed="false">
      <c r="B13" s="39" t="s">
        <v>209</v>
      </c>
      <c r="C13" s="18" t="s">
        <v>210</v>
      </c>
      <c r="D13" s="18" t="s">
        <v>211</v>
      </c>
      <c r="E13" s="18" t="s">
        <v>212</v>
      </c>
      <c r="F13" s="18" t="s">
        <v>213</v>
      </c>
      <c r="G13" s="18" t="s">
        <v>214</v>
      </c>
    </row>
    <row r="14" customFormat="false" ht="51.75" hidden="false" customHeight="true" outlineLevel="0" collapsed="false">
      <c r="B14" s="16" t="s">
        <v>215</v>
      </c>
      <c r="C14" s="18" t="s">
        <v>216</v>
      </c>
      <c r="D14" s="17" t="s">
        <v>217</v>
      </c>
      <c r="E14" s="18" t="s">
        <v>218</v>
      </c>
      <c r="F14" s="17" t="s">
        <v>219</v>
      </c>
      <c r="G14" s="18" t="s">
        <v>220</v>
      </c>
    </row>
    <row r="15" customFormat="false" ht="51.75" hidden="false" customHeight="true" outlineLevel="0" collapsed="false">
      <c r="B15" s="16" t="s">
        <v>221</v>
      </c>
      <c r="C15" s="18" t="s">
        <v>222</v>
      </c>
      <c r="D15" s="18" t="s">
        <v>223</v>
      </c>
      <c r="E15" s="18" t="s">
        <v>224</v>
      </c>
      <c r="F15" s="18" t="s">
        <v>225</v>
      </c>
      <c r="G15" s="18" t="s">
        <v>226</v>
      </c>
    </row>
    <row r="16" customFormat="false" ht="51.75" hidden="false" customHeight="true" outlineLevel="0" collapsed="false">
      <c r="B16" s="39" t="s">
        <v>227</v>
      </c>
      <c r="C16" s="18" t="s">
        <v>228</v>
      </c>
      <c r="D16" s="17" t="s">
        <v>229</v>
      </c>
      <c r="E16" s="18" t="s">
        <v>230</v>
      </c>
      <c r="F16" s="17" t="s">
        <v>231</v>
      </c>
      <c r="G16" s="17" t="s">
        <v>232</v>
      </c>
    </row>
    <row r="17" customFormat="false" ht="51.75" hidden="false" customHeight="true" outlineLevel="0" collapsed="false">
      <c r="B17" s="16" t="s">
        <v>233</v>
      </c>
      <c r="C17" s="18" t="s">
        <v>234</v>
      </c>
      <c r="D17" s="17" t="s">
        <v>235</v>
      </c>
      <c r="E17" s="18" t="s">
        <v>236</v>
      </c>
      <c r="F17" s="18" t="s">
        <v>237</v>
      </c>
      <c r="G17" s="17" t="s">
        <v>238</v>
      </c>
    </row>
    <row r="18" customFormat="false" ht="51.75" hidden="false" customHeight="true" outlineLevel="0" collapsed="false">
      <c r="B18" s="16" t="s">
        <v>239</v>
      </c>
      <c r="C18" s="17" t="s">
        <v>240</v>
      </c>
      <c r="D18" s="18" t="s">
        <v>241</v>
      </c>
      <c r="E18" s="18" t="s">
        <v>242</v>
      </c>
      <c r="F18" s="17" t="s">
        <v>243</v>
      </c>
      <c r="G18" s="18" t="s">
        <v>244</v>
      </c>
    </row>
    <row r="19" customFormat="false" ht="51.75" hidden="false" customHeight="true" outlineLevel="0" collapsed="false">
      <c r="B19" s="16" t="s">
        <v>245</v>
      </c>
      <c r="C19" s="17" t="s">
        <v>246</v>
      </c>
      <c r="D19" s="18" t="s">
        <v>247</v>
      </c>
      <c r="E19" s="18" t="s">
        <v>248</v>
      </c>
      <c r="F19" s="17" t="s">
        <v>249</v>
      </c>
      <c r="G19" s="18" t="s">
        <v>250</v>
      </c>
    </row>
    <row r="20" customFormat="false" ht="51.75" hidden="false" customHeight="true" outlineLevel="0" collapsed="false">
      <c r="B20" s="16" t="s">
        <v>251</v>
      </c>
      <c r="C20" s="18" t="s">
        <v>252</v>
      </c>
      <c r="D20" s="18" t="s">
        <v>253</v>
      </c>
      <c r="E20" s="18" t="s">
        <v>254</v>
      </c>
      <c r="F20" s="17" t="s">
        <v>255</v>
      </c>
      <c r="G20" s="18" t="s">
        <v>256</v>
      </c>
    </row>
    <row r="21" customFormat="false" ht="51.75" hidden="false" customHeight="true" outlineLevel="0" collapsed="false">
      <c r="B21" s="16" t="s">
        <v>257</v>
      </c>
      <c r="C21" s="17" t="s">
        <v>258</v>
      </c>
      <c r="D21" s="17" t="s">
        <v>154</v>
      </c>
      <c r="E21" s="18" t="s">
        <v>259</v>
      </c>
      <c r="F21" s="17" t="s">
        <v>154</v>
      </c>
      <c r="G21" s="17" t="s">
        <v>260</v>
      </c>
    </row>
    <row r="22" customFormat="false" ht="51.75" hidden="false" customHeight="true" outlineLevel="0" collapsed="false">
      <c r="B22" s="16" t="s">
        <v>261</v>
      </c>
      <c r="C22" s="40" t="s">
        <v>262</v>
      </c>
      <c r="D22" s="40" t="s">
        <v>263</v>
      </c>
      <c r="E22" s="40" t="s">
        <v>264</v>
      </c>
      <c r="F22" s="40" t="s">
        <v>265</v>
      </c>
      <c r="G22" s="40" t="s">
        <v>266</v>
      </c>
    </row>
  </sheetData>
  <mergeCells count="1">
    <mergeCell ref="B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24"/>
    <col collapsed="false" customWidth="true" hidden="false" outlineLevel="0" max="4" min="4" style="0" width="22"/>
    <col collapsed="false" customWidth="true" hidden="false" outlineLevel="0" max="5" min="5" style="0" width="13"/>
    <col collapsed="false" customWidth="true" hidden="false" outlineLevel="0" max="6" min="6" style="0" width="10"/>
    <col collapsed="false" customWidth="true" hidden="false" outlineLevel="0" max="7" min="7" style="0" width="14"/>
    <col collapsed="false" customWidth="true" hidden="false" outlineLevel="0" max="8" min="8" style="0" width="12"/>
    <col collapsed="false" customWidth="true" hidden="false" outlineLevel="0" max="9" min="9" style="0" width="42"/>
  </cols>
  <sheetData>
    <row r="2" customFormat="false" ht="19.4" hidden="false" customHeight="false" outlineLevel="0" collapsed="false">
      <c r="B2" s="24" t="s">
        <v>267</v>
      </c>
    </row>
    <row r="3" customFormat="false" ht="15" hidden="false" customHeight="true" outlineLevel="0" collapsed="false">
      <c r="B3" s="32" t="s">
        <v>268</v>
      </c>
      <c r="C3" s="32"/>
      <c r="D3" s="32"/>
      <c r="E3" s="32"/>
      <c r="F3" s="32"/>
      <c r="G3" s="32"/>
      <c r="H3" s="32"/>
      <c r="I3" s="32"/>
    </row>
    <row r="4" customFormat="false" ht="24" hidden="false" customHeight="true" outlineLevel="0" collapsed="false">
      <c r="B4" s="6" t="s">
        <v>269</v>
      </c>
      <c r="C4" s="6" t="s">
        <v>270</v>
      </c>
      <c r="D4" s="6" t="s">
        <v>271</v>
      </c>
      <c r="E4" s="6" t="s">
        <v>272</v>
      </c>
      <c r="F4" s="6" t="s">
        <v>273</v>
      </c>
      <c r="G4" s="6" t="s">
        <v>274</v>
      </c>
      <c r="H4" s="6" t="s">
        <v>275</v>
      </c>
      <c r="I4" s="6" t="s">
        <v>85</v>
      </c>
    </row>
    <row r="5" customFormat="false" ht="19.5" hidden="false" customHeight="true" outlineLevel="0" collapsed="false">
      <c r="B5" s="41" t="s">
        <v>276</v>
      </c>
      <c r="C5" s="28" t="s">
        <v>277</v>
      </c>
      <c r="D5" s="28" t="s">
        <v>278</v>
      </c>
      <c r="E5" s="36" t="s">
        <v>279</v>
      </c>
      <c r="F5" s="42" t="n">
        <v>70</v>
      </c>
      <c r="G5" s="43" t="n">
        <v>551.8</v>
      </c>
      <c r="H5" s="36" t="s">
        <v>280</v>
      </c>
      <c r="I5" s="44" t="s">
        <v>281</v>
      </c>
    </row>
    <row r="6" customFormat="false" ht="19.5" hidden="false" customHeight="true" outlineLevel="0" collapsed="false">
      <c r="B6" s="41" t="s">
        <v>276</v>
      </c>
      <c r="C6" s="28" t="s">
        <v>277</v>
      </c>
      <c r="D6" s="28" t="s">
        <v>282</v>
      </c>
      <c r="E6" s="36" t="s">
        <v>279</v>
      </c>
      <c r="F6" s="42" t="n">
        <v>65</v>
      </c>
      <c r="G6" s="43"/>
      <c r="H6" s="36" t="s">
        <v>280</v>
      </c>
      <c r="I6" s="44"/>
    </row>
    <row r="7" customFormat="false" ht="19.5" hidden="false" customHeight="true" outlineLevel="0" collapsed="false">
      <c r="B7" s="41" t="s">
        <v>276</v>
      </c>
      <c r="C7" s="28" t="s">
        <v>277</v>
      </c>
      <c r="D7" s="28" t="s">
        <v>283</v>
      </c>
      <c r="E7" s="36" t="s">
        <v>279</v>
      </c>
      <c r="F7" s="42" t="n">
        <v>55</v>
      </c>
      <c r="G7" s="43"/>
      <c r="H7" s="36" t="s">
        <v>280</v>
      </c>
      <c r="I7" s="44"/>
    </row>
    <row r="8" customFormat="false" ht="19.5" hidden="false" customHeight="true" outlineLevel="0" collapsed="false">
      <c r="B8" s="41" t="s">
        <v>276</v>
      </c>
      <c r="C8" s="28" t="s">
        <v>277</v>
      </c>
      <c r="D8" s="28" t="s">
        <v>284</v>
      </c>
      <c r="E8" s="36" t="s">
        <v>279</v>
      </c>
      <c r="F8" s="42" t="n">
        <v>45</v>
      </c>
      <c r="G8" s="43"/>
      <c r="H8" s="36" t="s">
        <v>280</v>
      </c>
      <c r="I8" s="44"/>
    </row>
    <row r="9" customFormat="false" ht="19.5" hidden="false" customHeight="true" outlineLevel="0" collapsed="false">
      <c r="B9" s="41" t="s">
        <v>276</v>
      </c>
      <c r="C9" s="28" t="s">
        <v>277</v>
      </c>
      <c r="D9" s="28" t="s">
        <v>285</v>
      </c>
      <c r="E9" s="36" t="s">
        <v>279</v>
      </c>
      <c r="F9" s="42" t="n">
        <v>35</v>
      </c>
      <c r="G9" s="43"/>
      <c r="H9" s="36" t="s">
        <v>280</v>
      </c>
      <c r="I9" s="44"/>
    </row>
    <row r="10" customFormat="false" ht="19.5" hidden="false" customHeight="true" outlineLevel="0" collapsed="false">
      <c r="B10" s="41" t="s">
        <v>276</v>
      </c>
      <c r="C10" s="28" t="s">
        <v>277</v>
      </c>
      <c r="D10" s="28" t="s">
        <v>286</v>
      </c>
      <c r="E10" s="36" t="s">
        <v>279</v>
      </c>
      <c r="F10" s="42" t="n">
        <v>25</v>
      </c>
      <c r="G10" s="43" t="n">
        <v>238</v>
      </c>
      <c r="H10" s="36" t="s">
        <v>280</v>
      </c>
      <c r="I10" s="44"/>
    </row>
    <row r="11" customFormat="false" ht="19.5" hidden="false" customHeight="true" outlineLevel="0" collapsed="false">
      <c r="B11" s="41" t="s">
        <v>276</v>
      </c>
      <c r="C11" s="28" t="s">
        <v>287</v>
      </c>
      <c r="D11" s="28" t="s">
        <v>287</v>
      </c>
      <c r="E11" s="36" t="s">
        <v>279</v>
      </c>
      <c r="F11" s="42" t="n">
        <v>30</v>
      </c>
      <c r="G11" s="43" t="n">
        <v>215.6</v>
      </c>
      <c r="H11" s="36" t="s">
        <v>280</v>
      </c>
      <c r="I11" s="44" t="s">
        <v>288</v>
      </c>
    </row>
    <row r="12" customFormat="false" ht="19.5" hidden="false" customHeight="true" outlineLevel="0" collapsed="false">
      <c r="B12" s="41" t="s">
        <v>276</v>
      </c>
      <c r="C12" s="28" t="s">
        <v>289</v>
      </c>
      <c r="D12" s="28" t="s">
        <v>290</v>
      </c>
      <c r="E12" s="36" t="s">
        <v>279</v>
      </c>
      <c r="F12" s="42" t="n">
        <v>30</v>
      </c>
      <c r="G12" s="43" t="n">
        <v>206.8</v>
      </c>
      <c r="H12" s="36" t="s">
        <v>280</v>
      </c>
      <c r="I12" s="44" t="s">
        <v>291</v>
      </c>
    </row>
    <row r="13" customFormat="false" ht="19.5" hidden="false" customHeight="true" outlineLevel="0" collapsed="false">
      <c r="B13" s="41" t="s">
        <v>276</v>
      </c>
      <c r="C13" s="28" t="s">
        <v>289</v>
      </c>
      <c r="D13" s="28" t="s">
        <v>292</v>
      </c>
      <c r="E13" s="36" t="s">
        <v>279</v>
      </c>
      <c r="F13" s="42" t="n">
        <v>25</v>
      </c>
      <c r="G13" s="43"/>
      <c r="H13" s="36" t="s">
        <v>280</v>
      </c>
      <c r="I13" s="44"/>
    </row>
    <row r="14" customFormat="false" ht="19.5" hidden="false" customHeight="true" outlineLevel="0" collapsed="false">
      <c r="B14" s="41" t="s">
        <v>276</v>
      </c>
      <c r="C14" s="28" t="s">
        <v>289</v>
      </c>
      <c r="D14" s="28" t="s">
        <v>293</v>
      </c>
      <c r="E14" s="36" t="s">
        <v>279</v>
      </c>
      <c r="F14" s="42" t="n">
        <v>20</v>
      </c>
      <c r="G14" s="43"/>
      <c r="H14" s="36" t="s">
        <v>280</v>
      </c>
      <c r="I14" s="44"/>
    </row>
    <row r="15" customFormat="false" ht="19.5" hidden="false" customHeight="true" outlineLevel="0" collapsed="false">
      <c r="B15" s="41" t="s">
        <v>276</v>
      </c>
      <c r="C15" s="28" t="s">
        <v>294</v>
      </c>
      <c r="D15" s="28" t="s">
        <v>295</v>
      </c>
      <c r="E15" s="36" t="s">
        <v>296</v>
      </c>
      <c r="F15" s="42" t="n">
        <v>80</v>
      </c>
      <c r="G15" s="43"/>
      <c r="H15" s="36" t="s">
        <v>87</v>
      </c>
      <c r="I15" s="44" t="s">
        <v>297</v>
      </c>
    </row>
    <row r="16" customFormat="false" ht="19.5" hidden="false" customHeight="true" outlineLevel="0" collapsed="false">
      <c r="B16" s="41" t="s">
        <v>276</v>
      </c>
      <c r="C16" s="28" t="s">
        <v>298</v>
      </c>
      <c r="D16" s="28" t="s">
        <v>299</v>
      </c>
      <c r="E16" s="36" t="s">
        <v>300</v>
      </c>
      <c r="F16" s="42" t="n">
        <v>30</v>
      </c>
      <c r="G16" s="43"/>
      <c r="H16" s="36" t="s">
        <v>301</v>
      </c>
      <c r="I16" s="45" t="s">
        <v>302</v>
      </c>
    </row>
    <row r="17" customFormat="false" ht="19.5" hidden="false" customHeight="true" outlineLevel="0" collapsed="false">
      <c r="B17" s="41" t="s">
        <v>276</v>
      </c>
      <c r="C17" s="28" t="s">
        <v>303</v>
      </c>
      <c r="D17" s="28" t="s">
        <v>304</v>
      </c>
      <c r="E17" s="36" t="s">
        <v>300</v>
      </c>
      <c r="F17" s="42" t="n">
        <v>35</v>
      </c>
      <c r="G17" s="43" t="n">
        <v>149</v>
      </c>
      <c r="H17" s="36" t="s">
        <v>305</v>
      </c>
      <c r="I17" s="44"/>
    </row>
    <row r="18" customFormat="false" ht="19.5" hidden="false" customHeight="true" outlineLevel="0" collapsed="false">
      <c r="B18" s="41" t="s">
        <v>276</v>
      </c>
      <c r="C18" s="28" t="s">
        <v>306</v>
      </c>
      <c r="D18" s="28" t="s">
        <v>307</v>
      </c>
      <c r="E18" s="36" t="s">
        <v>308</v>
      </c>
      <c r="F18" s="42" t="n">
        <v>40</v>
      </c>
      <c r="G18" s="43" t="n">
        <v>98.9</v>
      </c>
      <c r="H18" s="36" t="s">
        <v>309</v>
      </c>
      <c r="I18" s="45" t="s">
        <v>310</v>
      </c>
    </row>
    <row r="19" customFormat="false" ht="19.5" hidden="false" customHeight="true" outlineLevel="0" collapsed="false">
      <c r="B19" s="41" t="s">
        <v>32</v>
      </c>
      <c r="C19" s="28" t="s">
        <v>311</v>
      </c>
      <c r="D19" s="28" t="s">
        <v>312</v>
      </c>
      <c r="E19" s="36" t="s">
        <v>296</v>
      </c>
      <c r="F19" s="42" t="n">
        <v>65</v>
      </c>
      <c r="G19" s="43" t="n">
        <v>436</v>
      </c>
      <c r="H19" s="36" t="s">
        <v>313</v>
      </c>
      <c r="I19" s="45" t="s">
        <v>314</v>
      </c>
    </row>
    <row r="20" customFormat="false" ht="19.5" hidden="false" customHeight="true" outlineLevel="0" collapsed="false">
      <c r="B20" s="41" t="s">
        <v>32</v>
      </c>
      <c r="C20" s="28" t="s">
        <v>315</v>
      </c>
      <c r="D20" s="28" t="s">
        <v>316</v>
      </c>
      <c r="E20" s="36" t="s">
        <v>279</v>
      </c>
      <c r="F20" s="42" t="n">
        <v>70</v>
      </c>
      <c r="G20" s="43" t="n">
        <v>400</v>
      </c>
      <c r="H20" s="36" t="s">
        <v>317</v>
      </c>
      <c r="I20" s="44" t="s">
        <v>318</v>
      </c>
    </row>
    <row r="21" customFormat="false" ht="19.5" hidden="false" customHeight="true" outlineLevel="0" collapsed="false">
      <c r="B21" s="41" t="s">
        <v>32</v>
      </c>
      <c r="C21" s="28" t="s">
        <v>315</v>
      </c>
      <c r="D21" s="28" t="s">
        <v>319</v>
      </c>
      <c r="E21" s="36" t="s">
        <v>279</v>
      </c>
      <c r="F21" s="42" t="n">
        <v>60</v>
      </c>
      <c r="G21" s="43" t="n">
        <v>358</v>
      </c>
      <c r="H21" s="36" t="s">
        <v>317</v>
      </c>
      <c r="I21" s="44" t="s">
        <v>320</v>
      </c>
    </row>
    <row r="22" customFormat="false" ht="19.5" hidden="false" customHeight="true" outlineLevel="0" collapsed="false">
      <c r="B22" s="41" t="s">
        <v>32</v>
      </c>
      <c r="C22" s="28" t="s">
        <v>315</v>
      </c>
      <c r="D22" s="28" t="s">
        <v>321</v>
      </c>
      <c r="E22" s="36" t="s">
        <v>279</v>
      </c>
      <c r="F22" s="42" t="n">
        <v>50</v>
      </c>
      <c r="G22" s="43" t="n">
        <v>316</v>
      </c>
      <c r="H22" s="36" t="s">
        <v>317</v>
      </c>
      <c r="I22" s="44" t="s">
        <v>320</v>
      </c>
    </row>
    <row r="23" customFormat="false" ht="19.5" hidden="false" customHeight="true" outlineLevel="0" collapsed="false">
      <c r="B23" s="41" t="s">
        <v>32</v>
      </c>
      <c r="C23" s="28" t="s">
        <v>315</v>
      </c>
      <c r="D23" s="28" t="s">
        <v>322</v>
      </c>
      <c r="E23" s="36" t="s">
        <v>279</v>
      </c>
      <c r="F23" s="42" t="n">
        <v>40</v>
      </c>
      <c r="G23" s="43" t="n">
        <v>314.6</v>
      </c>
      <c r="H23" s="36" t="s">
        <v>317</v>
      </c>
      <c r="I23" s="44" t="s">
        <v>323</v>
      </c>
    </row>
    <row r="24" customFormat="false" ht="19.5" hidden="false" customHeight="true" outlineLevel="0" collapsed="false">
      <c r="B24" s="41" t="s">
        <v>32</v>
      </c>
      <c r="C24" s="28" t="s">
        <v>311</v>
      </c>
      <c r="D24" s="28" t="s">
        <v>324</v>
      </c>
      <c r="E24" s="36" t="s">
        <v>279</v>
      </c>
      <c r="F24" s="42" t="n">
        <v>50</v>
      </c>
      <c r="G24" s="43" t="n">
        <v>308</v>
      </c>
      <c r="H24" s="36" t="s">
        <v>325</v>
      </c>
      <c r="I24" s="44" t="s">
        <v>326</v>
      </c>
    </row>
    <row r="25" customFormat="false" ht="19.5" hidden="false" customHeight="true" outlineLevel="0" collapsed="false">
      <c r="B25" s="41" t="s">
        <v>32</v>
      </c>
      <c r="C25" s="28" t="s">
        <v>327</v>
      </c>
      <c r="D25" s="28" t="s">
        <v>328</v>
      </c>
      <c r="E25" s="36" t="s">
        <v>279</v>
      </c>
      <c r="F25" s="42" t="n">
        <v>35</v>
      </c>
      <c r="G25" s="43" t="n">
        <v>224.4</v>
      </c>
      <c r="H25" s="36" t="s">
        <v>329</v>
      </c>
      <c r="I25" s="44" t="s">
        <v>330</v>
      </c>
    </row>
    <row r="26" customFormat="false" ht="19.5" hidden="false" customHeight="true" outlineLevel="0" collapsed="false">
      <c r="B26" s="41" t="s">
        <v>32</v>
      </c>
      <c r="C26" s="28" t="s">
        <v>311</v>
      </c>
      <c r="D26" s="28" t="s">
        <v>331</v>
      </c>
      <c r="E26" s="36" t="s">
        <v>279</v>
      </c>
      <c r="F26" s="42" t="n">
        <v>22</v>
      </c>
      <c r="G26" s="43"/>
      <c r="H26" s="36" t="s">
        <v>329</v>
      </c>
      <c r="I26" s="44" t="s">
        <v>332</v>
      </c>
    </row>
    <row r="27" customFormat="false" ht="19.5" hidden="false" customHeight="true" outlineLevel="0" collapsed="false">
      <c r="B27" s="41" t="s">
        <v>32</v>
      </c>
      <c r="C27" s="28" t="s">
        <v>333</v>
      </c>
      <c r="D27" s="28" t="s">
        <v>334</v>
      </c>
      <c r="E27" s="36" t="s">
        <v>279</v>
      </c>
      <c r="F27" s="42" t="n">
        <v>35</v>
      </c>
      <c r="G27" s="43" t="n">
        <v>223</v>
      </c>
      <c r="H27" s="36" t="s">
        <v>335</v>
      </c>
      <c r="I27" s="45" t="s">
        <v>336</v>
      </c>
    </row>
    <row r="28" customFormat="false" ht="19.5" hidden="false" customHeight="true" outlineLevel="0" collapsed="false">
      <c r="B28" s="41" t="s">
        <v>32</v>
      </c>
      <c r="C28" s="28" t="s">
        <v>333</v>
      </c>
      <c r="D28" s="28" t="s">
        <v>337</v>
      </c>
      <c r="E28" s="36" t="s">
        <v>296</v>
      </c>
      <c r="F28" s="42" t="n">
        <v>80</v>
      </c>
      <c r="G28" s="43" t="n">
        <v>380</v>
      </c>
      <c r="H28" s="36" t="s">
        <v>338</v>
      </c>
      <c r="I28" s="44" t="s">
        <v>339</v>
      </c>
    </row>
    <row r="29" customFormat="false" ht="19.5" hidden="false" customHeight="true" outlineLevel="0" collapsed="false">
      <c r="B29" s="41" t="s">
        <v>32</v>
      </c>
      <c r="C29" s="28" t="s">
        <v>311</v>
      </c>
      <c r="D29" s="28" t="s">
        <v>340</v>
      </c>
      <c r="E29" s="36" t="s">
        <v>341</v>
      </c>
      <c r="F29" s="42" t="n">
        <v>105</v>
      </c>
      <c r="G29" s="43" t="n">
        <v>440</v>
      </c>
      <c r="H29" s="36" t="s">
        <v>317</v>
      </c>
      <c r="I29" s="44" t="s">
        <v>342</v>
      </c>
    </row>
    <row r="30" customFormat="false" ht="19.5" hidden="false" customHeight="true" outlineLevel="0" collapsed="false">
      <c r="B30" s="41" t="s">
        <v>32</v>
      </c>
      <c r="C30" s="28" t="s">
        <v>311</v>
      </c>
      <c r="D30" s="28" t="s">
        <v>343</v>
      </c>
      <c r="E30" s="36" t="s">
        <v>300</v>
      </c>
      <c r="F30" s="42" t="n">
        <v>70</v>
      </c>
      <c r="G30" s="43" t="n">
        <v>336.6</v>
      </c>
      <c r="H30" s="36" t="s">
        <v>317</v>
      </c>
      <c r="I30" s="44" t="s">
        <v>344</v>
      </c>
    </row>
    <row r="31" customFormat="false" ht="19.5" hidden="false" customHeight="true" outlineLevel="0" collapsed="false">
      <c r="B31" s="41" t="s">
        <v>32</v>
      </c>
      <c r="C31" s="28" t="s">
        <v>306</v>
      </c>
      <c r="D31" s="28" t="s">
        <v>345</v>
      </c>
      <c r="E31" s="36" t="s">
        <v>308</v>
      </c>
      <c r="F31" s="42" t="n">
        <v>43</v>
      </c>
      <c r="G31" s="43" t="n">
        <v>97.9</v>
      </c>
      <c r="H31" s="36" t="s">
        <v>301</v>
      </c>
      <c r="I31" s="44" t="s">
        <v>344</v>
      </c>
    </row>
    <row r="32" customFormat="false" ht="19.5" hidden="false" customHeight="true" outlineLevel="0" collapsed="false">
      <c r="B32" s="41" t="s">
        <v>33</v>
      </c>
      <c r="C32" s="28" t="s">
        <v>346</v>
      </c>
      <c r="D32" s="28" t="s">
        <v>347</v>
      </c>
      <c r="E32" s="36" t="s">
        <v>279</v>
      </c>
      <c r="F32" s="42" t="n">
        <v>60</v>
      </c>
      <c r="G32" s="43" t="n">
        <v>308</v>
      </c>
      <c r="H32" s="36" t="s">
        <v>348</v>
      </c>
      <c r="I32" s="44" t="s">
        <v>349</v>
      </c>
    </row>
    <row r="33" customFormat="false" ht="19.5" hidden="false" customHeight="true" outlineLevel="0" collapsed="false">
      <c r="B33" s="41" t="s">
        <v>33</v>
      </c>
      <c r="C33" s="28" t="s">
        <v>346</v>
      </c>
      <c r="D33" s="28" t="s">
        <v>350</v>
      </c>
      <c r="E33" s="36" t="s">
        <v>279</v>
      </c>
      <c r="F33" s="42" t="n">
        <v>55</v>
      </c>
      <c r="G33" s="43" t="n">
        <v>251</v>
      </c>
      <c r="H33" s="36" t="s">
        <v>348</v>
      </c>
      <c r="I33" s="44"/>
    </row>
    <row r="34" customFormat="false" ht="19.5" hidden="false" customHeight="true" outlineLevel="0" collapsed="false">
      <c r="B34" s="41" t="s">
        <v>33</v>
      </c>
      <c r="C34" s="28" t="s">
        <v>346</v>
      </c>
      <c r="D34" s="28" t="s">
        <v>351</v>
      </c>
      <c r="E34" s="36" t="s">
        <v>279</v>
      </c>
      <c r="F34" s="42" t="n">
        <v>45</v>
      </c>
      <c r="G34" s="43" t="n">
        <v>218</v>
      </c>
      <c r="H34" s="36" t="s">
        <v>348</v>
      </c>
      <c r="I34" s="44"/>
    </row>
    <row r="35" customFormat="false" ht="19.5" hidden="false" customHeight="true" outlineLevel="0" collapsed="false">
      <c r="B35" s="41" t="s">
        <v>33</v>
      </c>
      <c r="C35" s="28" t="s">
        <v>346</v>
      </c>
      <c r="D35" s="28" t="s">
        <v>352</v>
      </c>
      <c r="E35" s="36" t="s">
        <v>279</v>
      </c>
      <c r="F35" s="42" t="n">
        <v>35</v>
      </c>
      <c r="G35" s="43" t="n">
        <v>187</v>
      </c>
      <c r="H35" s="36" t="s">
        <v>348</v>
      </c>
      <c r="I35" s="44"/>
    </row>
    <row r="36" customFormat="false" ht="19.5" hidden="false" customHeight="true" outlineLevel="0" collapsed="false">
      <c r="B36" s="41" t="s">
        <v>33</v>
      </c>
      <c r="C36" s="28" t="s">
        <v>346</v>
      </c>
      <c r="D36" s="28" t="s">
        <v>353</v>
      </c>
      <c r="E36" s="36" t="s">
        <v>279</v>
      </c>
      <c r="F36" s="42" t="n">
        <v>30</v>
      </c>
      <c r="G36" s="43" t="n">
        <v>161</v>
      </c>
      <c r="H36" s="36" t="s">
        <v>348</v>
      </c>
      <c r="I36" s="44"/>
    </row>
    <row r="37" customFormat="false" ht="19.5" hidden="false" customHeight="true" outlineLevel="0" collapsed="false">
      <c r="B37" s="41" t="s">
        <v>33</v>
      </c>
      <c r="C37" s="28" t="s">
        <v>346</v>
      </c>
      <c r="D37" s="28" t="s">
        <v>354</v>
      </c>
      <c r="E37" s="36" t="s">
        <v>279</v>
      </c>
      <c r="F37" s="42" t="n">
        <v>25</v>
      </c>
      <c r="G37" s="43" t="n">
        <v>136</v>
      </c>
      <c r="H37" s="36" t="s">
        <v>348</v>
      </c>
      <c r="I37" s="44"/>
    </row>
    <row r="38" customFormat="false" ht="19.5" hidden="false" customHeight="true" outlineLevel="0" collapsed="false">
      <c r="B38" s="41" t="s">
        <v>33</v>
      </c>
      <c r="C38" s="28" t="s">
        <v>346</v>
      </c>
      <c r="D38" s="28" t="s">
        <v>355</v>
      </c>
      <c r="E38" s="36" t="s">
        <v>279</v>
      </c>
      <c r="F38" s="42" t="n">
        <v>20</v>
      </c>
      <c r="G38" s="43" t="n">
        <v>119</v>
      </c>
      <c r="H38" s="36" t="s">
        <v>348</v>
      </c>
      <c r="I38" s="45" t="s">
        <v>356</v>
      </c>
    </row>
    <row r="39" customFormat="false" ht="19.5" hidden="false" customHeight="true" outlineLevel="0" collapsed="false">
      <c r="B39" s="41" t="s">
        <v>33</v>
      </c>
      <c r="C39" s="28" t="s">
        <v>357</v>
      </c>
      <c r="D39" s="28" t="s">
        <v>358</v>
      </c>
      <c r="E39" s="36" t="s">
        <v>296</v>
      </c>
      <c r="F39" s="42" t="n">
        <v>70</v>
      </c>
      <c r="G39" s="43" t="n">
        <v>329</v>
      </c>
      <c r="H39" s="36" t="s">
        <v>359</v>
      </c>
      <c r="I39" s="44" t="s">
        <v>360</v>
      </c>
    </row>
    <row r="40" customFormat="false" ht="19.5" hidden="false" customHeight="true" outlineLevel="0" collapsed="false">
      <c r="B40" s="41" t="s">
        <v>33</v>
      </c>
      <c r="C40" s="28" t="s">
        <v>361</v>
      </c>
      <c r="D40" s="28" t="s">
        <v>362</v>
      </c>
      <c r="E40" s="36" t="s">
        <v>296</v>
      </c>
      <c r="F40" s="42" t="n">
        <v>80</v>
      </c>
      <c r="G40" s="43" t="n">
        <v>520</v>
      </c>
      <c r="H40" s="36" t="s">
        <v>363</v>
      </c>
      <c r="I40" s="44" t="s">
        <v>364</v>
      </c>
    </row>
    <row r="41" customFormat="false" ht="19.5" hidden="false" customHeight="true" outlineLevel="0" collapsed="false">
      <c r="B41" s="41" t="s">
        <v>33</v>
      </c>
      <c r="C41" s="28" t="s">
        <v>361</v>
      </c>
      <c r="D41" s="28" t="s">
        <v>365</v>
      </c>
      <c r="E41" s="36" t="s">
        <v>296</v>
      </c>
      <c r="F41" s="42" t="n">
        <v>65</v>
      </c>
      <c r="G41" s="43" t="n">
        <v>395</v>
      </c>
      <c r="H41" s="36" t="s">
        <v>363</v>
      </c>
      <c r="I41" s="45" t="s">
        <v>366</v>
      </c>
    </row>
    <row r="42" customFormat="false" ht="19.5" hidden="false" customHeight="true" outlineLevel="0" collapsed="false">
      <c r="B42" s="41" t="s">
        <v>33</v>
      </c>
      <c r="C42" s="28" t="s">
        <v>367</v>
      </c>
      <c r="D42" s="28" t="s">
        <v>368</v>
      </c>
      <c r="E42" s="36" t="s">
        <v>279</v>
      </c>
      <c r="F42" s="42" t="n">
        <v>60</v>
      </c>
      <c r="G42" s="43" t="n">
        <v>213</v>
      </c>
      <c r="H42" s="36" t="s">
        <v>369</v>
      </c>
      <c r="I42" s="45" t="s">
        <v>370</v>
      </c>
    </row>
    <row r="43" customFormat="false" ht="19.5" hidden="false" customHeight="true" outlineLevel="0" collapsed="false">
      <c r="B43" s="41" t="s">
        <v>33</v>
      </c>
      <c r="C43" s="28" t="s">
        <v>371</v>
      </c>
      <c r="D43" s="28" t="s">
        <v>372</v>
      </c>
      <c r="E43" s="36" t="s">
        <v>341</v>
      </c>
      <c r="F43" s="42" t="n">
        <v>70</v>
      </c>
      <c r="G43" s="43" t="n">
        <v>323</v>
      </c>
      <c r="H43" s="36" t="s">
        <v>373</v>
      </c>
      <c r="I43" s="45" t="s">
        <v>374</v>
      </c>
    </row>
    <row r="44" customFormat="false" ht="19.5" hidden="false" customHeight="true" outlineLevel="0" collapsed="false">
      <c r="B44" s="41" t="s">
        <v>33</v>
      </c>
      <c r="C44" s="28" t="s">
        <v>371</v>
      </c>
      <c r="D44" s="28" t="s">
        <v>375</v>
      </c>
      <c r="E44" s="36" t="s">
        <v>300</v>
      </c>
      <c r="F44" s="42" t="n">
        <v>60</v>
      </c>
      <c r="G44" s="43" t="n">
        <v>107</v>
      </c>
      <c r="H44" s="36" t="s">
        <v>376</v>
      </c>
      <c r="I44" s="44" t="s">
        <v>377</v>
      </c>
    </row>
    <row r="45" customFormat="false" ht="19.5" hidden="false" customHeight="true" outlineLevel="0" collapsed="false">
      <c r="B45" s="41" t="s">
        <v>33</v>
      </c>
      <c r="C45" s="28" t="s">
        <v>306</v>
      </c>
      <c r="D45" s="28" t="s">
        <v>378</v>
      </c>
      <c r="E45" s="36" t="s">
        <v>308</v>
      </c>
      <c r="F45" s="42" t="n">
        <v>43</v>
      </c>
      <c r="G45" s="43" t="n">
        <v>81</v>
      </c>
      <c r="H45" s="36" t="s">
        <v>379</v>
      </c>
      <c r="I45" s="44" t="s">
        <v>380</v>
      </c>
    </row>
    <row r="46" customFormat="false" ht="19.5" hidden="false" customHeight="true" outlineLevel="0" collapsed="false">
      <c r="B46" s="41" t="s">
        <v>34</v>
      </c>
      <c r="C46" s="30" t="s">
        <v>381</v>
      </c>
      <c r="D46" s="28" t="s">
        <v>382</v>
      </c>
      <c r="E46" s="36" t="s">
        <v>279</v>
      </c>
      <c r="F46" s="42" t="n">
        <v>65</v>
      </c>
      <c r="G46" s="43" t="n">
        <v>291</v>
      </c>
      <c r="H46" s="36" t="s">
        <v>301</v>
      </c>
      <c r="I46" s="45" t="s">
        <v>383</v>
      </c>
    </row>
    <row r="47" customFormat="false" ht="19.5" hidden="false" customHeight="true" outlineLevel="0" collapsed="false">
      <c r="B47" s="41" t="s">
        <v>34</v>
      </c>
      <c r="C47" s="30" t="s">
        <v>381</v>
      </c>
      <c r="D47" s="28" t="s">
        <v>384</v>
      </c>
      <c r="E47" s="36" t="s">
        <v>279</v>
      </c>
      <c r="F47" s="42" t="n">
        <v>55</v>
      </c>
      <c r="G47" s="43"/>
      <c r="H47" s="36" t="s">
        <v>301</v>
      </c>
      <c r="I47" s="44"/>
    </row>
    <row r="48" customFormat="false" ht="19.5" hidden="false" customHeight="true" outlineLevel="0" collapsed="false">
      <c r="B48" s="41" t="s">
        <v>34</v>
      </c>
      <c r="C48" s="30" t="s">
        <v>381</v>
      </c>
      <c r="D48" s="28" t="s">
        <v>385</v>
      </c>
      <c r="E48" s="36" t="s">
        <v>279</v>
      </c>
      <c r="F48" s="42" t="n">
        <v>45</v>
      </c>
      <c r="G48" s="43" t="n">
        <v>243</v>
      </c>
      <c r="H48" s="36" t="s">
        <v>301</v>
      </c>
      <c r="I48" s="44"/>
    </row>
    <row r="49" customFormat="false" ht="19.5" hidden="false" customHeight="true" outlineLevel="0" collapsed="false">
      <c r="B49" s="41" t="s">
        <v>34</v>
      </c>
      <c r="C49" s="30" t="s">
        <v>381</v>
      </c>
      <c r="D49" s="28" t="s">
        <v>386</v>
      </c>
      <c r="E49" s="36" t="s">
        <v>279</v>
      </c>
      <c r="F49" s="42" t="n">
        <v>36</v>
      </c>
      <c r="G49" s="43"/>
      <c r="H49" s="36" t="s">
        <v>301</v>
      </c>
      <c r="I49" s="44"/>
    </row>
    <row r="50" customFormat="false" ht="19.5" hidden="false" customHeight="true" outlineLevel="0" collapsed="false">
      <c r="B50" s="41" t="s">
        <v>34</v>
      </c>
      <c r="C50" s="30" t="s">
        <v>387</v>
      </c>
      <c r="D50" s="28" t="s">
        <v>388</v>
      </c>
      <c r="E50" s="36" t="s">
        <v>279</v>
      </c>
      <c r="F50" s="42" t="n">
        <v>65</v>
      </c>
      <c r="G50" s="43"/>
      <c r="H50" s="36" t="s">
        <v>301</v>
      </c>
      <c r="I50" s="44" t="s">
        <v>389</v>
      </c>
    </row>
    <row r="51" customFormat="false" ht="19.5" hidden="false" customHeight="true" outlineLevel="0" collapsed="false">
      <c r="B51" s="41" t="s">
        <v>34</v>
      </c>
      <c r="C51" s="30" t="s">
        <v>390</v>
      </c>
      <c r="D51" s="28" t="s">
        <v>391</v>
      </c>
      <c r="E51" s="36" t="s">
        <v>279</v>
      </c>
      <c r="F51" s="42" t="n">
        <v>36</v>
      </c>
      <c r="G51" s="43" t="n">
        <v>155</v>
      </c>
      <c r="H51" s="36" t="s">
        <v>301</v>
      </c>
      <c r="I51" s="44" t="s">
        <v>392</v>
      </c>
    </row>
    <row r="52" customFormat="false" ht="19.5" hidden="false" customHeight="true" outlineLevel="0" collapsed="false">
      <c r="B52" s="41" t="s">
        <v>34</v>
      </c>
      <c r="C52" s="30" t="s">
        <v>393</v>
      </c>
      <c r="D52" s="28" t="s">
        <v>394</v>
      </c>
      <c r="E52" s="36" t="s">
        <v>279</v>
      </c>
      <c r="F52" s="42" t="n">
        <v>36</v>
      </c>
      <c r="G52" s="43" t="n">
        <v>151</v>
      </c>
      <c r="H52" s="36" t="s">
        <v>301</v>
      </c>
      <c r="I52" s="44" t="s">
        <v>395</v>
      </c>
    </row>
    <row r="53" customFormat="false" ht="19.5" hidden="false" customHeight="true" outlineLevel="0" collapsed="false">
      <c r="B53" s="41" t="s">
        <v>34</v>
      </c>
      <c r="C53" s="30" t="s">
        <v>396</v>
      </c>
      <c r="D53" s="28" t="s">
        <v>397</v>
      </c>
      <c r="E53" s="36" t="s">
        <v>279</v>
      </c>
      <c r="F53" s="42" t="n">
        <v>20</v>
      </c>
      <c r="G53" s="43" t="n">
        <v>120</v>
      </c>
      <c r="H53" s="36" t="s">
        <v>398</v>
      </c>
      <c r="I53" s="44" t="s">
        <v>399</v>
      </c>
    </row>
    <row r="54" customFormat="false" ht="19.5" hidden="false" customHeight="true" outlineLevel="0" collapsed="false">
      <c r="B54" s="41" t="s">
        <v>34</v>
      </c>
      <c r="C54" s="30" t="s">
        <v>400</v>
      </c>
      <c r="D54" s="28" t="s">
        <v>401</v>
      </c>
      <c r="E54" s="36" t="s">
        <v>300</v>
      </c>
      <c r="F54" s="42" t="n">
        <v>65</v>
      </c>
      <c r="G54" s="43"/>
      <c r="H54" s="36" t="s">
        <v>301</v>
      </c>
      <c r="I54" s="45" t="s">
        <v>402</v>
      </c>
    </row>
    <row r="55" customFormat="false" ht="19.5" hidden="false" customHeight="true" outlineLevel="0" collapsed="false">
      <c r="B55" s="41" t="s">
        <v>34</v>
      </c>
      <c r="C55" s="30" t="s">
        <v>403</v>
      </c>
      <c r="D55" s="28" t="s">
        <v>404</v>
      </c>
      <c r="E55" s="36" t="s">
        <v>341</v>
      </c>
      <c r="F55" s="42" t="n">
        <v>90</v>
      </c>
      <c r="G55" s="43" t="n">
        <v>494.5</v>
      </c>
      <c r="H55" s="36" t="s">
        <v>405</v>
      </c>
      <c r="I55" s="45" t="s">
        <v>406</v>
      </c>
    </row>
    <row r="56" customFormat="false" ht="19.5" hidden="false" customHeight="true" outlineLevel="0" collapsed="false">
      <c r="B56" s="41" t="s">
        <v>34</v>
      </c>
      <c r="C56" s="28" t="s">
        <v>306</v>
      </c>
      <c r="D56" s="28" t="s">
        <v>407</v>
      </c>
      <c r="E56" s="36" t="s">
        <v>308</v>
      </c>
      <c r="F56" s="42" t="n">
        <v>31</v>
      </c>
      <c r="G56" s="43" t="n">
        <v>80</v>
      </c>
      <c r="H56" s="36" t="s">
        <v>408</v>
      </c>
      <c r="I56" s="44" t="s">
        <v>409</v>
      </c>
    </row>
    <row r="57" customFormat="false" ht="19.5" hidden="false" customHeight="true" outlineLevel="0" collapsed="false">
      <c r="B57" s="41" t="s">
        <v>35</v>
      </c>
      <c r="C57" s="28" t="s">
        <v>410</v>
      </c>
      <c r="D57" s="28" t="s">
        <v>411</v>
      </c>
      <c r="E57" s="36" t="s">
        <v>296</v>
      </c>
      <c r="F57" s="42" t="n">
        <v>75</v>
      </c>
      <c r="G57" s="43" t="n">
        <v>471.9</v>
      </c>
      <c r="H57" s="36" t="s">
        <v>412</v>
      </c>
      <c r="I57" s="44" t="s">
        <v>413</v>
      </c>
    </row>
    <row r="58" customFormat="false" ht="19.5" hidden="false" customHeight="true" outlineLevel="0" collapsed="false">
      <c r="B58" s="41" t="s">
        <v>35</v>
      </c>
      <c r="C58" s="28" t="s">
        <v>410</v>
      </c>
      <c r="D58" s="28" t="s">
        <v>414</v>
      </c>
      <c r="E58" s="36" t="s">
        <v>279</v>
      </c>
      <c r="F58" s="42" t="n">
        <v>65</v>
      </c>
      <c r="G58" s="43"/>
      <c r="H58" s="36" t="s">
        <v>412</v>
      </c>
      <c r="I58" s="44"/>
    </row>
    <row r="59" customFormat="false" ht="19.5" hidden="false" customHeight="true" outlineLevel="0" collapsed="false">
      <c r="B59" s="41" t="s">
        <v>35</v>
      </c>
      <c r="C59" s="28" t="s">
        <v>410</v>
      </c>
      <c r="D59" s="28" t="s">
        <v>415</v>
      </c>
      <c r="E59" s="36" t="s">
        <v>279</v>
      </c>
      <c r="F59" s="42" t="n">
        <v>55</v>
      </c>
      <c r="G59" s="43"/>
      <c r="H59" s="36" t="s">
        <v>412</v>
      </c>
      <c r="I59" s="44"/>
    </row>
    <row r="60" customFormat="false" ht="19.5" hidden="false" customHeight="true" outlineLevel="0" collapsed="false">
      <c r="B60" s="41" t="s">
        <v>35</v>
      </c>
      <c r="C60" s="28" t="s">
        <v>410</v>
      </c>
      <c r="D60" s="28" t="s">
        <v>416</v>
      </c>
      <c r="E60" s="36" t="s">
        <v>279</v>
      </c>
      <c r="F60" s="42" t="n">
        <v>45</v>
      </c>
      <c r="G60" s="43" t="n">
        <v>270.5</v>
      </c>
      <c r="H60" s="36" t="s">
        <v>412</v>
      </c>
      <c r="I60" s="44" t="s">
        <v>417</v>
      </c>
    </row>
    <row r="61" customFormat="false" ht="19.5" hidden="false" customHeight="true" outlineLevel="0" collapsed="false">
      <c r="B61" s="41" t="s">
        <v>35</v>
      </c>
      <c r="C61" s="28" t="s">
        <v>410</v>
      </c>
      <c r="D61" s="28" t="s">
        <v>418</v>
      </c>
      <c r="E61" s="36" t="s">
        <v>279</v>
      </c>
      <c r="F61" s="42" t="n">
        <v>36</v>
      </c>
      <c r="G61" s="43"/>
      <c r="H61" s="36" t="s">
        <v>412</v>
      </c>
      <c r="I61" s="44"/>
    </row>
    <row r="62" customFormat="false" ht="19.5" hidden="false" customHeight="true" outlineLevel="0" collapsed="false">
      <c r="B62" s="41" t="s">
        <v>35</v>
      </c>
      <c r="C62" s="28" t="s">
        <v>410</v>
      </c>
      <c r="D62" s="28" t="s">
        <v>419</v>
      </c>
      <c r="E62" s="36" t="s">
        <v>279</v>
      </c>
      <c r="F62" s="42" t="n">
        <v>25</v>
      </c>
      <c r="G62" s="43" t="n">
        <v>150.5</v>
      </c>
      <c r="H62" s="36" t="s">
        <v>412</v>
      </c>
      <c r="I62" s="44" t="s">
        <v>417</v>
      </c>
    </row>
    <row r="63" customFormat="false" ht="19.5" hidden="false" customHeight="true" outlineLevel="0" collapsed="false">
      <c r="B63" s="41" t="s">
        <v>35</v>
      </c>
      <c r="C63" s="28" t="s">
        <v>410</v>
      </c>
      <c r="D63" s="28" t="s">
        <v>420</v>
      </c>
      <c r="E63" s="36" t="s">
        <v>279</v>
      </c>
      <c r="F63" s="42" t="n">
        <v>28</v>
      </c>
      <c r="G63" s="43" t="n">
        <v>127</v>
      </c>
      <c r="H63" s="36" t="s">
        <v>373</v>
      </c>
      <c r="I63" s="44" t="s">
        <v>421</v>
      </c>
    </row>
    <row r="64" customFormat="false" ht="19.5" hidden="false" customHeight="true" outlineLevel="0" collapsed="false">
      <c r="B64" s="41" t="s">
        <v>35</v>
      </c>
      <c r="C64" s="28" t="s">
        <v>422</v>
      </c>
      <c r="D64" s="28" t="s">
        <v>423</v>
      </c>
      <c r="E64" s="36" t="s">
        <v>424</v>
      </c>
      <c r="F64" s="42" t="n">
        <v>45</v>
      </c>
      <c r="G64" s="43"/>
      <c r="H64" s="36" t="s">
        <v>425</v>
      </c>
      <c r="I64" s="44" t="s">
        <v>426</v>
      </c>
    </row>
    <row r="65" customFormat="false" ht="19.5" hidden="false" customHeight="true" outlineLevel="0" collapsed="false">
      <c r="B65" s="41" t="s">
        <v>35</v>
      </c>
      <c r="C65" s="28" t="s">
        <v>410</v>
      </c>
      <c r="D65" s="28" t="s">
        <v>427</v>
      </c>
      <c r="E65" s="36" t="s">
        <v>300</v>
      </c>
      <c r="F65" s="42" t="n">
        <v>75</v>
      </c>
      <c r="G65" s="43"/>
      <c r="H65" s="36" t="s">
        <v>412</v>
      </c>
      <c r="I65" s="45" t="s">
        <v>428</v>
      </c>
    </row>
    <row r="66" customFormat="false" ht="19.5" hidden="false" customHeight="true" outlineLevel="0" collapsed="false">
      <c r="B66" s="41" t="s">
        <v>35</v>
      </c>
      <c r="C66" s="28" t="s">
        <v>306</v>
      </c>
      <c r="D66" s="28" t="s">
        <v>429</v>
      </c>
      <c r="E66" s="36" t="s">
        <v>308</v>
      </c>
      <c r="F66" s="42" t="n">
        <v>40</v>
      </c>
      <c r="G66" s="43" t="n">
        <v>51</v>
      </c>
      <c r="H66" s="36" t="s">
        <v>359</v>
      </c>
      <c r="I66" s="44" t="s">
        <v>430</v>
      </c>
    </row>
    <row r="68" customFormat="false" ht="21.75" hidden="false" customHeight="true" outlineLevel="0" collapsed="false">
      <c r="B68" s="5" t="s">
        <v>431</v>
      </c>
      <c r="C68" s="5"/>
      <c r="D68" s="5"/>
      <c r="E68" s="5"/>
      <c r="F68" s="5"/>
      <c r="G68" s="5"/>
      <c r="H68" s="5"/>
      <c r="I68" s="5"/>
    </row>
    <row r="69" customFormat="false" ht="24" hidden="false" customHeight="true" outlineLevel="0" collapsed="false">
      <c r="B69" s="6" t="s">
        <v>269</v>
      </c>
      <c r="C69" s="6" t="s">
        <v>432</v>
      </c>
      <c r="D69" s="6" t="s">
        <v>433</v>
      </c>
      <c r="E69" s="6" t="s">
        <v>434</v>
      </c>
      <c r="F69" s="6" t="s">
        <v>435</v>
      </c>
      <c r="G69" s="6" t="s">
        <v>436</v>
      </c>
      <c r="H69" s="6"/>
      <c r="I69" s="6"/>
    </row>
    <row r="70" customFormat="false" ht="19.5" hidden="false" customHeight="true" outlineLevel="0" collapsed="false">
      <c r="B70" s="16" t="s">
        <v>437</v>
      </c>
      <c r="C70" s="46" t="n">
        <f aca="false">COUNTA(D5:D18)</f>
        <v>14</v>
      </c>
      <c r="D70" s="46" t="n">
        <f aca="false">COUNT(G5:G18)</f>
        <v>6</v>
      </c>
      <c r="E70" s="47" t="n">
        <f aca="false">MIN(G5:G18)</f>
        <v>98.9</v>
      </c>
      <c r="F70" s="47" t="n">
        <f aca="false">MAX(G5:G18)</f>
        <v>551.8</v>
      </c>
      <c r="G70" s="47" t="n">
        <f aca="false">AVERAGE(G5:G18)</f>
        <v>243.35</v>
      </c>
      <c r="H70" s="48"/>
      <c r="I70" s="48"/>
    </row>
    <row r="71" customFormat="false" ht="19.5" hidden="false" customHeight="true" outlineLevel="0" collapsed="false">
      <c r="B71" s="16" t="s">
        <v>32</v>
      </c>
      <c r="C71" s="46" t="n">
        <f aca="false">COUNTA(D19:D31)</f>
        <v>13</v>
      </c>
      <c r="D71" s="46" t="n">
        <f aca="false">COUNT(G19:G31)</f>
        <v>12</v>
      </c>
      <c r="E71" s="47" t="n">
        <f aca="false">MIN(G19:G31)</f>
        <v>97.9</v>
      </c>
      <c r="F71" s="47" t="n">
        <f aca="false">MAX(G19:G31)</f>
        <v>440</v>
      </c>
      <c r="G71" s="47" t="n">
        <f aca="false">AVERAGE(G19:G31)</f>
        <v>319.541666666667</v>
      </c>
      <c r="H71" s="48"/>
      <c r="I71" s="48"/>
    </row>
    <row r="72" customFormat="false" ht="19.5" hidden="false" customHeight="true" outlineLevel="0" collapsed="false">
      <c r="B72" s="16" t="s">
        <v>33</v>
      </c>
      <c r="C72" s="46" t="n">
        <f aca="false">COUNTA(D32:D45)</f>
        <v>14</v>
      </c>
      <c r="D72" s="46" t="n">
        <f aca="false">COUNT(G32:G45)</f>
        <v>14</v>
      </c>
      <c r="E72" s="47" t="n">
        <f aca="false">MIN(G32:G45)</f>
        <v>81</v>
      </c>
      <c r="F72" s="47" t="n">
        <f aca="false">MAX(G32:G45)</f>
        <v>520</v>
      </c>
      <c r="G72" s="47" t="n">
        <f aca="false">AVERAGE(G32:G45)</f>
        <v>239.142857142857</v>
      </c>
      <c r="H72" s="48"/>
      <c r="I72" s="48"/>
    </row>
    <row r="73" customFormat="false" ht="19.5" hidden="false" customHeight="true" outlineLevel="0" collapsed="false">
      <c r="B73" s="16" t="s">
        <v>34</v>
      </c>
      <c r="C73" s="46" t="n">
        <f aca="false">COUNTA(D46:D56)</f>
        <v>11</v>
      </c>
      <c r="D73" s="46" t="n">
        <f aca="false">COUNT(G46:G56)</f>
        <v>7</v>
      </c>
      <c r="E73" s="47" t="n">
        <f aca="false">MIN(G46:G56)</f>
        <v>80</v>
      </c>
      <c r="F73" s="47" t="n">
        <f aca="false">MAX(G46:G56)</f>
        <v>494.5</v>
      </c>
      <c r="G73" s="47" t="n">
        <f aca="false">AVERAGE(G46:G56)</f>
        <v>219.214285714286</v>
      </c>
      <c r="H73" s="48"/>
      <c r="I73" s="48"/>
    </row>
    <row r="74" customFormat="false" ht="19.5" hidden="false" customHeight="true" outlineLevel="0" collapsed="false">
      <c r="B74" s="16" t="s">
        <v>35</v>
      </c>
      <c r="C74" s="46" t="n">
        <f aca="false">COUNTA(D57:D66)</f>
        <v>10</v>
      </c>
      <c r="D74" s="46" t="n">
        <f aca="false">COUNT(G57:G66)</f>
        <v>5</v>
      </c>
      <c r="E74" s="47" t="n">
        <f aca="false">MIN(G57:G66)</f>
        <v>51</v>
      </c>
      <c r="F74" s="47" t="n">
        <f aca="false">MAX(G57:G66)</f>
        <v>471.9</v>
      </c>
      <c r="G74" s="47" t="n">
        <f aca="false">AVERAGE(G57:G66)</f>
        <v>214.18</v>
      </c>
      <c r="H74" s="48"/>
      <c r="I74" s="48"/>
    </row>
    <row r="75" customFormat="false" ht="15" hidden="false" customHeight="true" outlineLevel="0" collapsed="false">
      <c r="B75" s="32" t="s">
        <v>438</v>
      </c>
      <c r="C75" s="32"/>
      <c r="D75" s="32"/>
      <c r="E75" s="32"/>
      <c r="F75" s="32"/>
      <c r="G75" s="32"/>
      <c r="H75" s="32"/>
      <c r="I75" s="32"/>
    </row>
  </sheetData>
  <mergeCells count="3">
    <mergeCell ref="B3:I3"/>
    <mergeCell ref="B68:I68"/>
    <mergeCell ref="B75:I7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7" min="3" style="0" width="22"/>
  </cols>
  <sheetData>
    <row r="2" customFormat="false" ht="19.4" hidden="false" customHeight="false" outlineLevel="0" collapsed="false">
      <c r="B2" s="24" t="s">
        <v>439</v>
      </c>
    </row>
    <row r="3" customFormat="false" ht="15" hidden="false" customHeight="true" outlineLevel="0" collapsed="false">
      <c r="B3" s="32" t="s">
        <v>440</v>
      </c>
      <c r="C3" s="32"/>
      <c r="D3" s="32"/>
      <c r="E3" s="32"/>
      <c r="F3" s="32"/>
      <c r="G3" s="32"/>
    </row>
    <row r="4" customFormat="false" ht="21.75" hidden="false" customHeight="true" outlineLevel="0" collapsed="false">
      <c r="B4" s="15" t="s">
        <v>441</v>
      </c>
      <c r="C4" s="15"/>
      <c r="D4" s="15"/>
      <c r="E4" s="15"/>
      <c r="F4" s="15"/>
      <c r="G4" s="15"/>
    </row>
    <row r="5" customFormat="false" ht="24" hidden="false" customHeight="true" outlineLevel="0" collapsed="false">
      <c r="B5" s="6"/>
      <c r="C5" s="6" t="s">
        <v>31</v>
      </c>
      <c r="D5" s="6" t="s">
        <v>32</v>
      </c>
      <c r="E5" s="6" t="s">
        <v>33</v>
      </c>
      <c r="F5" s="6" t="s">
        <v>34</v>
      </c>
      <c r="G5" s="6" t="s">
        <v>35</v>
      </c>
    </row>
    <row r="6" customFormat="false" ht="21.75" hidden="false" customHeight="true" outlineLevel="0" collapsed="false">
      <c r="B6" s="35" t="s">
        <v>442</v>
      </c>
      <c r="C6" s="36" t="s">
        <v>286</v>
      </c>
      <c r="D6" s="36" t="s">
        <v>443</v>
      </c>
      <c r="E6" s="36" t="s">
        <v>444</v>
      </c>
      <c r="F6" s="36" t="s">
        <v>445</v>
      </c>
      <c r="G6" s="36" t="s">
        <v>420</v>
      </c>
    </row>
    <row r="7" customFormat="false" ht="18" hidden="false" customHeight="true" outlineLevel="0" collapsed="false">
      <c r="B7" s="35" t="s">
        <v>446</v>
      </c>
      <c r="C7" s="49" t="n">
        <v>25</v>
      </c>
      <c r="D7" s="49" t="n">
        <v>26</v>
      </c>
      <c r="E7" s="49" t="n">
        <v>25</v>
      </c>
      <c r="F7" s="49" t="n">
        <v>26</v>
      </c>
      <c r="G7" s="49" t="n">
        <v>28</v>
      </c>
    </row>
    <row r="8" customFormat="false" ht="18" hidden="false" customHeight="true" outlineLevel="0" collapsed="false">
      <c r="B8" s="35" t="s">
        <v>447</v>
      </c>
      <c r="C8" s="50" t="n">
        <v>238</v>
      </c>
      <c r="D8" s="50" t="n">
        <v>177</v>
      </c>
      <c r="E8" s="50" t="n">
        <v>136</v>
      </c>
      <c r="F8" s="50" t="n">
        <v>155</v>
      </c>
      <c r="G8" s="50" t="n">
        <v>127</v>
      </c>
    </row>
    <row r="9" customFormat="false" ht="18" hidden="false" customHeight="true" outlineLevel="0" collapsed="false">
      <c r="B9" s="38" t="s">
        <v>448</v>
      </c>
      <c r="C9" s="51" t="n">
        <f aca="false">C8/C7</f>
        <v>9.52</v>
      </c>
      <c r="D9" s="51" t="n">
        <f aca="false">D8/D7</f>
        <v>6.80769230769231</v>
      </c>
      <c r="E9" s="51" t="n">
        <f aca="false">E8/E7</f>
        <v>5.44</v>
      </c>
      <c r="F9" s="51" t="n">
        <f aca="false">F8/F7</f>
        <v>5.96153846153846</v>
      </c>
      <c r="G9" s="51" t="n">
        <f aca="false">G8/G7</f>
        <v>4.53571428571429</v>
      </c>
    </row>
    <row r="11" customFormat="false" ht="21.75" hidden="false" customHeight="true" outlineLevel="0" collapsed="false">
      <c r="B11" s="15" t="s">
        <v>449</v>
      </c>
      <c r="C11" s="15"/>
      <c r="D11" s="15"/>
      <c r="E11" s="15"/>
      <c r="F11" s="15"/>
      <c r="G11" s="15"/>
    </row>
    <row r="12" customFormat="false" ht="24" hidden="false" customHeight="true" outlineLevel="0" collapsed="false">
      <c r="B12" s="6"/>
      <c r="C12" s="6" t="s">
        <v>31</v>
      </c>
      <c r="D12" s="6" t="s">
        <v>32</v>
      </c>
      <c r="E12" s="6" t="s">
        <v>33</v>
      </c>
      <c r="F12" s="6" t="s">
        <v>34</v>
      </c>
      <c r="G12" s="6" t="s">
        <v>35</v>
      </c>
    </row>
    <row r="13" customFormat="false" ht="21.75" hidden="false" customHeight="true" outlineLevel="0" collapsed="false">
      <c r="B13" s="35" t="s">
        <v>442</v>
      </c>
      <c r="C13" s="36" t="s">
        <v>284</v>
      </c>
      <c r="D13" s="36" t="s">
        <v>324</v>
      </c>
      <c r="E13" s="36" t="s">
        <v>450</v>
      </c>
      <c r="F13" s="36" t="s">
        <v>385</v>
      </c>
      <c r="G13" s="36" t="s">
        <v>416</v>
      </c>
    </row>
    <row r="14" customFormat="false" ht="18" hidden="false" customHeight="true" outlineLevel="0" collapsed="false">
      <c r="B14" s="35" t="s">
        <v>446</v>
      </c>
      <c r="C14" s="49" t="n">
        <v>45</v>
      </c>
      <c r="D14" s="49" t="n">
        <v>50</v>
      </c>
      <c r="E14" s="49" t="n">
        <v>45</v>
      </c>
      <c r="F14" s="49" t="n">
        <v>45</v>
      </c>
      <c r="G14" s="49" t="n">
        <v>45</v>
      </c>
    </row>
    <row r="15" customFormat="false" ht="18" hidden="false" customHeight="true" outlineLevel="0" collapsed="false">
      <c r="B15" s="35" t="s">
        <v>447</v>
      </c>
      <c r="C15" s="50"/>
      <c r="D15" s="50" t="n">
        <v>308</v>
      </c>
      <c r="E15" s="50" t="n">
        <v>218</v>
      </c>
      <c r="F15" s="50" t="n">
        <v>243</v>
      </c>
      <c r="G15" s="50" t="n">
        <v>270.5</v>
      </c>
    </row>
    <row r="16" customFormat="false" ht="18" hidden="false" customHeight="true" outlineLevel="0" collapsed="false">
      <c r="B16" s="38" t="s">
        <v>448</v>
      </c>
      <c r="C16" s="51" t="s">
        <v>87</v>
      </c>
      <c r="D16" s="51" t="n">
        <f aca="false">D15/D14</f>
        <v>6.16</v>
      </c>
      <c r="E16" s="51" t="n">
        <f aca="false">E15/E14</f>
        <v>4.84444444444444</v>
      </c>
      <c r="F16" s="51" t="n">
        <f aca="false">F15/F14</f>
        <v>5.4</v>
      </c>
      <c r="G16" s="51" t="n">
        <f aca="false">G15/G14</f>
        <v>6.01111111111111</v>
      </c>
    </row>
    <row r="18" customFormat="false" ht="21.75" hidden="false" customHeight="true" outlineLevel="0" collapsed="false">
      <c r="B18" s="15" t="s">
        <v>451</v>
      </c>
      <c r="C18" s="15"/>
      <c r="D18" s="15"/>
      <c r="E18" s="15"/>
      <c r="F18" s="15"/>
      <c r="G18" s="15"/>
    </row>
    <row r="19" customFormat="false" ht="24" hidden="false" customHeight="true" outlineLevel="0" collapsed="false">
      <c r="B19" s="6"/>
      <c r="C19" s="6" t="s">
        <v>31</v>
      </c>
      <c r="D19" s="6" t="s">
        <v>32</v>
      </c>
      <c r="E19" s="6" t="s">
        <v>33</v>
      </c>
      <c r="F19" s="6" t="s">
        <v>34</v>
      </c>
      <c r="G19" s="6" t="s">
        <v>35</v>
      </c>
    </row>
    <row r="20" customFormat="false" ht="21.75" hidden="false" customHeight="true" outlineLevel="0" collapsed="false">
      <c r="B20" s="35" t="s">
        <v>442</v>
      </c>
      <c r="C20" s="36" t="s">
        <v>282</v>
      </c>
      <c r="D20" s="36" t="s">
        <v>312</v>
      </c>
      <c r="E20" s="36" t="s">
        <v>452</v>
      </c>
      <c r="F20" s="36" t="s">
        <v>382</v>
      </c>
      <c r="G20" s="36" t="s">
        <v>414</v>
      </c>
    </row>
    <row r="21" customFormat="false" ht="18" hidden="false" customHeight="true" outlineLevel="0" collapsed="false">
      <c r="B21" s="35" t="s">
        <v>446</v>
      </c>
      <c r="C21" s="49" t="n">
        <v>65</v>
      </c>
      <c r="D21" s="49" t="n">
        <v>65</v>
      </c>
      <c r="E21" s="49" t="n">
        <v>60</v>
      </c>
      <c r="F21" s="49" t="n">
        <v>65</v>
      </c>
      <c r="G21" s="49" t="n">
        <v>65</v>
      </c>
    </row>
    <row r="22" customFormat="false" ht="18" hidden="false" customHeight="true" outlineLevel="0" collapsed="false">
      <c r="B22" s="35" t="s">
        <v>447</v>
      </c>
      <c r="C22" s="50"/>
      <c r="D22" s="50" t="n">
        <v>436</v>
      </c>
      <c r="E22" s="50" t="n">
        <v>308</v>
      </c>
      <c r="F22" s="50" t="n">
        <v>291</v>
      </c>
      <c r="G22" s="50"/>
    </row>
    <row r="23" customFormat="false" ht="18" hidden="false" customHeight="true" outlineLevel="0" collapsed="false">
      <c r="B23" s="38" t="s">
        <v>448</v>
      </c>
      <c r="C23" s="51" t="s">
        <v>87</v>
      </c>
      <c r="D23" s="51" t="n">
        <f aca="false">D22/D21</f>
        <v>6.70769230769231</v>
      </c>
      <c r="E23" s="51" t="n">
        <f aca="false">E22/E21</f>
        <v>5.13333333333333</v>
      </c>
      <c r="F23" s="51" t="n">
        <f aca="false">F22/F21</f>
        <v>4.47692307692308</v>
      </c>
      <c r="G23" s="51" t="s">
        <v>87</v>
      </c>
    </row>
    <row r="25" customFormat="false" ht="21.75" hidden="false" customHeight="true" outlineLevel="0" collapsed="false">
      <c r="B25" s="15" t="s">
        <v>453</v>
      </c>
      <c r="C25" s="15"/>
      <c r="D25" s="15"/>
      <c r="E25" s="15"/>
      <c r="F25" s="15"/>
      <c r="G25" s="15"/>
    </row>
    <row r="26" customFormat="false" ht="24" hidden="false" customHeight="true" outlineLevel="0" collapsed="false">
      <c r="B26" s="6"/>
      <c r="C26" s="6" t="s">
        <v>31</v>
      </c>
      <c r="D26" s="6" t="s">
        <v>32</v>
      </c>
      <c r="E26" s="6" t="s">
        <v>33</v>
      </c>
      <c r="F26" s="6" t="s">
        <v>34</v>
      </c>
      <c r="G26" s="6" t="s">
        <v>35</v>
      </c>
    </row>
    <row r="27" customFormat="false" ht="21.75" hidden="false" customHeight="true" outlineLevel="0" collapsed="false">
      <c r="B27" s="35" t="s">
        <v>442</v>
      </c>
      <c r="C27" s="36" t="s">
        <v>278</v>
      </c>
      <c r="D27" s="36" t="s">
        <v>316</v>
      </c>
      <c r="E27" s="36" t="s">
        <v>454</v>
      </c>
      <c r="F27" s="37" t="s">
        <v>455</v>
      </c>
      <c r="G27" s="36" t="s">
        <v>411</v>
      </c>
    </row>
    <row r="28" customFormat="false" ht="18" hidden="false" customHeight="true" outlineLevel="0" collapsed="false">
      <c r="B28" s="35" t="s">
        <v>446</v>
      </c>
      <c r="C28" s="49" t="n">
        <v>70</v>
      </c>
      <c r="D28" s="49" t="n">
        <v>70</v>
      </c>
      <c r="E28" s="49" t="n">
        <v>70</v>
      </c>
      <c r="F28" s="49" t="s">
        <v>87</v>
      </c>
      <c r="G28" s="49" t="n">
        <v>75</v>
      </c>
    </row>
    <row r="29" customFormat="false" ht="18" hidden="false" customHeight="true" outlineLevel="0" collapsed="false">
      <c r="B29" s="35" t="s">
        <v>447</v>
      </c>
      <c r="C29" s="50" t="n">
        <v>551.8</v>
      </c>
      <c r="D29" s="50" t="n">
        <v>400</v>
      </c>
      <c r="E29" s="50" t="n">
        <v>329</v>
      </c>
      <c r="F29" s="50"/>
      <c r="G29" s="50" t="n">
        <v>471.9</v>
      </c>
    </row>
    <row r="30" customFormat="false" ht="18" hidden="false" customHeight="true" outlineLevel="0" collapsed="false">
      <c r="B30" s="38" t="s">
        <v>448</v>
      </c>
      <c r="C30" s="51" t="n">
        <f aca="false">C29/C28</f>
        <v>7.88285714285714</v>
      </c>
      <c r="D30" s="51" t="n">
        <f aca="false">D29/D28</f>
        <v>5.71428571428571</v>
      </c>
      <c r="E30" s="51" t="n">
        <f aca="false">E29/E28</f>
        <v>4.7</v>
      </c>
      <c r="F30" s="51" t="s">
        <v>87</v>
      </c>
      <c r="G30" s="51" t="n">
        <f aca="false">G29/G28</f>
        <v>6.292</v>
      </c>
    </row>
    <row r="32" customFormat="false" ht="21.75" hidden="false" customHeight="true" outlineLevel="0" collapsed="false">
      <c r="B32" s="5" t="s">
        <v>456</v>
      </c>
      <c r="C32" s="5"/>
      <c r="D32" s="5"/>
      <c r="E32" s="5"/>
      <c r="F32" s="5"/>
      <c r="G32" s="5"/>
    </row>
    <row r="33" customFormat="false" ht="24" hidden="false" customHeight="true" outlineLevel="0" collapsed="false">
      <c r="B33" s="6" t="s">
        <v>269</v>
      </c>
      <c r="C33" s="6" t="s">
        <v>457</v>
      </c>
      <c r="D33" s="6" t="s">
        <v>458</v>
      </c>
      <c r="E33" s="6" t="s">
        <v>85</v>
      </c>
      <c r="F33" s="6"/>
      <c r="G33" s="6"/>
    </row>
    <row r="34" customFormat="false" ht="19.5" hidden="false" customHeight="true" outlineLevel="0" collapsed="false">
      <c r="B34" s="35" t="s">
        <v>34</v>
      </c>
      <c r="C34" s="36" t="s">
        <v>459</v>
      </c>
      <c r="D34" s="36" t="s">
        <v>460</v>
      </c>
      <c r="E34" s="30" t="s">
        <v>461</v>
      </c>
      <c r="F34" s="30"/>
      <c r="G34" s="30"/>
    </row>
    <row r="35" customFormat="false" ht="19.5" hidden="false" customHeight="true" outlineLevel="0" collapsed="false">
      <c r="B35" s="35" t="s">
        <v>35</v>
      </c>
      <c r="C35" s="36" t="s">
        <v>462</v>
      </c>
      <c r="D35" s="36" t="s">
        <v>463</v>
      </c>
      <c r="E35" s="30" t="s">
        <v>464</v>
      </c>
      <c r="F35" s="30"/>
      <c r="G35" s="30"/>
    </row>
    <row r="36" customFormat="false" ht="19.5" hidden="false" customHeight="true" outlineLevel="0" collapsed="false">
      <c r="B36" s="35" t="s">
        <v>465</v>
      </c>
      <c r="C36" s="37" t="s">
        <v>466</v>
      </c>
      <c r="D36" s="37" t="s">
        <v>466</v>
      </c>
      <c r="E36" s="30" t="s">
        <v>467</v>
      </c>
      <c r="F36" s="30"/>
      <c r="G36" s="30"/>
    </row>
    <row r="37" customFormat="false" ht="15" hidden="false" customHeight="true" outlineLevel="0" collapsed="false">
      <c r="B37" s="32" t="s">
        <v>468</v>
      </c>
      <c r="C37" s="32"/>
      <c r="D37" s="32"/>
      <c r="E37" s="32"/>
      <c r="F37" s="32"/>
      <c r="G37" s="32"/>
    </row>
    <row r="39" customFormat="false" ht="21.75" hidden="false" customHeight="true" outlineLevel="0" collapsed="false">
      <c r="B39" s="5" t="s">
        <v>469</v>
      </c>
      <c r="C39" s="5"/>
      <c r="D39" s="5"/>
      <c r="E39" s="5"/>
      <c r="F39" s="5"/>
      <c r="G39" s="5"/>
    </row>
    <row r="40" customFormat="false" ht="24" hidden="false" customHeight="true" outlineLevel="0" collapsed="false">
      <c r="B40" s="6" t="s">
        <v>470</v>
      </c>
      <c r="C40" s="6" t="s">
        <v>31</v>
      </c>
      <c r="D40" s="6" t="s">
        <v>32</v>
      </c>
      <c r="E40" s="6" t="s">
        <v>33</v>
      </c>
      <c r="F40" s="6" t="s">
        <v>34</v>
      </c>
      <c r="G40" s="6" t="s">
        <v>35</v>
      </c>
    </row>
    <row r="41" customFormat="false" ht="18" hidden="false" customHeight="true" outlineLevel="0" collapsed="false">
      <c r="B41" s="38" t="s">
        <v>471</v>
      </c>
      <c r="C41" s="52" t="n">
        <f aca="false">C8</f>
        <v>238</v>
      </c>
      <c r="D41" s="52" t="n">
        <f aca="false">D8</f>
        <v>177</v>
      </c>
      <c r="E41" s="52" t="n">
        <f aca="false">E8</f>
        <v>136</v>
      </c>
      <c r="F41" s="52" t="n">
        <f aca="false">F8</f>
        <v>155</v>
      </c>
      <c r="G41" s="52" t="n">
        <f aca="false">G8</f>
        <v>127</v>
      </c>
    </row>
    <row r="42" customFormat="false" ht="18" hidden="false" customHeight="true" outlineLevel="0" collapsed="false">
      <c r="B42" s="38" t="s">
        <v>472</v>
      </c>
      <c r="C42" s="52" t="n">
        <f aca="false">C15</f>
        <v>0</v>
      </c>
      <c r="D42" s="52" t="n">
        <f aca="false">D15</f>
        <v>308</v>
      </c>
      <c r="E42" s="52" t="n">
        <f aca="false">E15</f>
        <v>218</v>
      </c>
      <c r="F42" s="52" t="n">
        <f aca="false">F15</f>
        <v>243</v>
      </c>
      <c r="G42" s="52" t="n">
        <f aca="false">G15</f>
        <v>270.5</v>
      </c>
    </row>
    <row r="43" customFormat="false" ht="18" hidden="false" customHeight="true" outlineLevel="0" collapsed="false">
      <c r="B43" s="38" t="s">
        <v>473</v>
      </c>
      <c r="C43" s="52" t="n">
        <f aca="false">C22</f>
        <v>0</v>
      </c>
      <c r="D43" s="52" t="n">
        <f aca="false">D22</f>
        <v>436</v>
      </c>
      <c r="E43" s="52" t="n">
        <f aca="false">E22</f>
        <v>308</v>
      </c>
      <c r="F43" s="52" t="n">
        <f aca="false">F22</f>
        <v>291</v>
      </c>
      <c r="G43" s="52" t="n">
        <f aca="false">G22</f>
        <v>0</v>
      </c>
    </row>
    <row r="44" customFormat="false" ht="18" hidden="false" customHeight="true" outlineLevel="0" collapsed="false">
      <c r="B44" s="38" t="s">
        <v>474</v>
      </c>
      <c r="C44" s="52" t="n">
        <f aca="false">C29</f>
        <v>551.8</v>
      </c>
      <c r="D44" s="52" t="n">
        <f aca="false">D29</f>
        <v>400</v>
      </c>
      <c r="E44" s="52" t="n">
        <f aca="false">E29</f>
        <v>329</v>
      </c>
      <c r="F44" s="52" t="n">
        <f aca="false">F29</f>
        <v>0</v>
      </c>
      <c r="G44" s="52" t="n">
        <f aca="false">G29</f>
        <v>471.9</v>
      </c>
    </row>
    <row r="45" customFormat="false" ht="15" hidden="false" customHeight="true" outlineLevel="0" collapsed="false">
      <c r="B45" s="34" t="s">
        <v>475</v>
      </c>
      <c r="C45" s="34"/>
      <c r="D45" s="34"/>
      <c r="E45" s="34"/>
      <c r="F45" s="34"/>
      <c r="G45" s="34"/>
    </row>
  </sheetData>
  <mergeCells count="12">
    <mergeCell ref="B3:G3"/>
    <mergeCell ref="B4:G4"/>
    <mergeCell ref="B11:G11"/>
    <mergeCell ref="B18:G18"/>
    <mergeCell ref="B25:G25"/>
    <mergeCell ref="B32:G32"/>
    <mergeCell ref="E34:G34"/>
    <mergeCell ref="E35:G35"/>
    <mergeCell ref="E36:G36"/>
    <mergeCell ref="B37:G37"/>
    <mergeCell ref="B39:G39"/>
    <mergeCell ref="B45:G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7" min="3" style="0" width="14"/>
    <col collapsed="false" customWidth="true" hidden="false" outlineLevel="0" max="8" min="8" style="0" width="52"/>
  </cols>
  <sheetData>
    <row r="2" customFormat="false" ht="19.4" hidden="false" customHeight="false" outlineLevel="0" collapsed="false">
      <c r="B2" s="24" t="s">
        <v>476</v>
      </c>
    </row>
    <row r="3" customFormat="false" ht="15" hidden="false" customHeight="true" outlineLevel="0" collapsed="false">
      <c r="B3" s="34" t="s">
        <v>477</v>
      </c>
      <c r="C3" s="34"/>
      <c r="D3" s="34"/>
      <c r="E3" s="34"/>
      <c r="F3" s="34"/>
      <c r="G3" s="34"/>
      <c r="H3" s="34"/>
    </row>
    <row r="4" customFormat="false" ht="24" hidden="false" customHeight="true" outlineLevel="0" collapsed="false">
      <c r="B4" s="6" t="s">
        <v>478</v>
      </c>
      <c r="C4" s="6" t="s">
        <v>31</v>
      </c>
      <c r="D4" s="6" t="s">
        <v>32</v>
      </c>
      <c r="E4" s="6" t="s">
        <v>33</v>
      </c>
      <c r="F4" s="6" t="s">
        <v>34</v>
      </c>
      <c r="G4" s="6" t="s">
        <v>35</v>
      </c>
      <c r="H4" s="6" t="s">
        <v>479</v>
      </c>
    </row>
    <row r="5" customFormat="false" ht="30" hidden="false" customHeight="true" outlineLevel="0" collapsed="false">
      <c r="B5" s="16" t="s">
        <v>480</v>
      </c>
      <c r="C5" s="53" t="n">
        <v>5</v>
      </c>
      <c r="D5" s="53" t="n">
        <v>5</v>
      </c>
      <c r="E5" s="53" t="n">
        <v>5</v>
      </c>
      <c r="F5" s="54" t="n">
        <v>3</v>
      </c>
      <c r="G5" s="54" t="n">
        <v>4</v>
      </c>
      <c r="H5" s="45" t="s">
        <v>481</v>
      </c>
    </row>
    <row r="6" customFormat="false" ht="30" hidden="false" customHeight="true" outlineLevel="0" collapsed="false">
      <c r="B6" s="16" t="s">
        <v>482</v>
      </c>
      <c r="C6" s="54" t="n">
        <v>3</v>
      </c>
      <c r="D6" s="54" t="n">
        <v>3</v>
      </c>
      <c r="E6" s="54" t="n">
        <v>4</v>
      </c>
      <c r="F6" s="53" t="n">
        <v>5</v>
      </c>
      <c r="G6" s="54" t="n">
        <v>4</v>
      </c>
      <c r="H6" s="44" t="s">
        <v>483</v>
      </c>
    </row>
    <row r="7" customFormat="false" ht="30" hidden="false" customHeight="true" outlineLevel="0" collapsed="false">
      <c r="B7" s="16" t="s">
        <v>484</v>
      </c>
      <c r="C7" s="53" t="n">
        <v>5</v>
      </c>
      <c r="D7" s="54" t="n">
        <v>4</v>
      </c>
      <c r="E7" s="53" t="n">
        <v>5</v>
      </c>
      <c r="F7" s="54" t="n">
        <v>4</v>
      </c>
      <c r="G7" s="54" t="n">
        <v>4</v>
      </c>
      <c r="H7" s="45" t="s">
        <v>485</v>
      </c>
    </row>
    <row r="8" customFormat="false" ht="30" hidden="false" customHeight="true" outlineLevel="0" collapsed="false">
      <c r="B8" s="39" t="s">
        <v>486</v>
      </c>
      <c r="C8" s="54" t="n">
        <v>4</v>
      </c>
      <c r="D8" s="54" t="n">
        <v>4</v>
      </c>
      <c r="E8" s="54" t="n">
        <v>4</v>
      </c>
      <c r="F8" s="54" t="n">
        <v>4</v>
      </c>
      <c r="G8" s="55" t="n">
        <v>2</v>
      </c>
      <c r="H8" s="44" t="s">
        <v>487</v>
      </c>
    </row>
    <row r="9" customFormat="false" ht="30" hidden="false" customHeight="true" outlineLevel="0" collapsed="false">
      <c r="B9" s="16" t="s">
        <v>233</v>
      </c>
      <c r="C9" s="54" t="n">
        <v>4</v>
      </c>
      <c r="D9" s="54" t="n">
        <v>4</v>
      </c>
      <c r="E9" s="54" t="n">
        <v>4</v>
      </c>
      <c r="F9" s="54" t="n">
        <v>4</v>
      </c>
      <c r="G9" s="53" t="n">
        <v>5</v>
      </c>
      <c r="H9" s="44" t="s">
        <v>488</v>
      </c>
    </row>
    <row r="10" customFormat="false" ht="30" hidden="false" customHeight="true" outlineLevel="0" collapsed="false">
      <c r="B10" s="16" t="s">
        <v>239</v>
      </c>
      <c r="C10" s="53" t="n">
        <v>5</v>
      </c>
      <c r="D10" s="53" t="n">
        <v>5</v>
      </c>
      <c r="E10" s="53" t="n">
        <v>5</v>
      </c>
      <c r="F10" s="54" t="n">
        <v>3</v>
      </c>
      <c r="G10" s="54" t="n">
        <v>3</v>
      </c>
      <c r="H10" s="44" t="s">
        <v>489</v>
      </c>
    </row>
    <row r="11" customFormat="false" ht="30" hidden="false" customHeight="true" outlineLevel="0" collapsed="false">
      <c r="B11" s="16" t="s">
        <v>490</v>
      </c>
      <c r="C11" s="54" t="n">
        <v>4</v>
      </c>
      <c r="D11" s="53" t="n">
        <v>5</v>
      </c>
      <c r="E11" s="53" t="n">
        <v>5</v>
      </c>
      <c r="F11" s="54" t="n">
        <v>3</v>
      </c>
      <c r="G11" s="54" t="n">
        <v>4</v>
      </c>
      <c r="H11" s="44" t="s">
        <v>491</v>
      </c>
    </row>
    <row r="12" customFormat="false" ht="30" hidden="false" customHeight="true" outlineLevel="0" collapsed="false">
      <c r="B12" s="16" t="s">
        <v>492</v>
      </c>
      <c r="C12" s="54" t="n">
        <v>4</v>
      </c>
      <c r="D12" s="53" t="n">
        <v>5</v>
      </c>
      <c r="E12" s="54" t="n">
        <v>4</v>
      </c>
      <c r="F12" s="54" t="n">
        <v>3</v>
      </c>
      <c r="G12" s="54" t="n">
        <v>4</v>
      </c>
      <c r="H12" s="45" t="s">
        <v>493</v>
      </c>
    </row>
    <row r="13" customFormat="false" ht="21.75" hidden="false" customHeight="true" outlineLevel="0" collapsed="false">
      <c r="B13" s="56" t="s">
        <v>494</v>
      </c>
      <c r="C13" s="57" t="n">
        <f aca="false">SUM(C5:C12)</f>
        <v>34</v>
      </c>
      <c r="D13" s="57" t="n">
        <f aca="false">SUM(D5:D12)</f>
        <v>35</v>
      </c>
      <c r="E13" s="57" t="n">
        <f aca="false">SUM(E5:E12)</f>
        <v>36</v>
      </c>
      <c r="F13" s="57" t="n">
        <f aca="false">SUM(F5:F12)</f>
        <v>29</v>
      </c>
      <c r="G13" s="57" t="n">
        <f aca="false">SUM(G5:G12)</f>
        <v>30</v>
      </c>
      <c r="H13" s="58"/>
    </row>
    <row r="14" customFormat="false" ht="19.5" hidden="false" customHeight="true" outlineLevel="0" collapsed="false">
      <c r="B14" s="25" t="s">
        <v>495</v>
      </c>
      <c r="C14" s="59" t="n">
        <f aca="false">RANK(C13,$C$13:$G$13)</f>
        <v>3</v>
      </c>
      <c r="D14" s="59" t="n">
        <f aca="false">RANK(D13,$C$13:$G$13)</f>
        <v>2</v>
      </c>
      <c r="E14" s="59" t="n">
        <f aca="false">RANK(E13,$C$13:$G$13)</f>
        <v>1</v>
      </c>
      <c r="F14" s="59" t="n">
        <f aca="false">RANK(F13,$C$13:$G$13)</f>
        <v>5</v>
      </c>
      <c r="G14" s="59" t="n">
        <f aca="false">RANK(G13,$C$13:$G$13)</f>
        <v>4</v>
      </c>
      <c r="H14" s="60" t="s">
        <v>496</v>
      </c>
    </row>
  </sheetData>
  <mergeCells count="1">
    <mergeCell ref="B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4" min="3" style="0" width="48"/>
  </cols>
  <sheetData>
    <row r="2" customFormat="false" ht="19.4" hidden="false" customHeight="false" outlineLevel="0" collapsed="false">
      <c r="B2" s="24" t="s">
        <v>497</v>
      </c>
    </row>
    <row r="3" customFormat="false" ht="15" hidden="false" customHeight="true" outlineLevel="0" collapsed="false">
      <c r="B3" s="32" t="s">
        <v>498</v>
      </c>
      <c r="C3" s="32"/>
      <c r="D3" s="32"/>
    </row>
    <row r="4" customFormat="false" ht="21.75" hidden="false" customHeight="true" outlineLevel="0" collapsed="false">
      <c r="B4" s="5" t="s">
        <v>499</v>
      </c>
      <c r="C4" s="5"/>
      <c r="D4" s="5"/>
    </row>
    <row r="5" customFormat="false" ht="24" hidden="false" customHeight="true" outlineLevel="0" collapsed="false">
      <c r="B5" s="58"/>
      <c r="C5" s="6" t="s">
        <v>500</v>
      </c>
      <c r="D5" s="6" t="s">
        <v>501</v>
      </c>
    </row>
    <row r="6" customFormat="false" ht="67.5" hidden="false" customHeight="true" outlineLevel="0" collapsed="false">
      <c r="B6" s="61" t="s">
        <v>502</v>
      </c>
      <c r="C6" s="17" t="s">
        <v>503</v>
      </c>
      <c r="D6" s="17" t="s">
        <v>504</v>
      </c>
    </row>
    <row r="7" customFormat="false" ht="24" hidden="false" customHeight="true" outlineLevel="0" collapsed="false">
      <c r="B7" s="58"/>
      <c r="C7" s="6" t="s">
        <v>505</v>
      </c>
      <c r="D7" s="6" t="s">
        <v>506</v>
      </c>
    </row>
    <row r="8" customFormat="false" ht="60" hidden="false" customHeight="true" outlineLevel="0" collapsed="false">
      <c r="B8" s="61" t="s">
        <v>507</v>
      </c>
      <c r="C8" s="17" t="s">
        <v>508</v>
      </c>
      <c r="D8" s="17" t="s">
        <v>509</v>
      </c>
    </row>
    <row r="10" customFormat="false" ht="21.75" hidden="false" customHeight="true" outlineLevel="0" collapsed="false">
      <c r="B10" s="5" t="s">
        <v>32</v>
      </c>
      <c r="C10" s="5"/>
      <c r="D10" s="5"/>
    </row>
    <row r="11" customFormat="false" ht="24" hidden="false" customHeight="true" outlineLevel="0" collapsed="false">
      <c r="B11" s="58"/>
      <c r="C11" s="6" t="s">
        <v>500</v>
      </c>
      <c r="D11" s="6" t="s">
        <v>501</v>
      </c>
    </row>
    <row r="12" customFormat="false" ht="67.5" hidden="false" customHeight="true" outlineLevel="0" collapsed="false">
      <c r="B12" s="61" t="s">
        <v>502</v>
      </c>
      <c r="C12" s="17" t="s">
        <v>510</v>
      </c>
      <c r="D12" s="17" t="s">
        <v>511</v>
      </c>
    </row>
    <row r="13" customFormat="false" ht="24" hidden="false" customHeight="true" outlineLevel="0" collapsed="false">
      <c r="B13" s="58"/>
      <c r="C13" s="6" t="s">
        <v>505</v>
      </c>
      <c r="D13" s="6" t="s">
        <v>506</v>
      </c>
    </row>
    <row r="14" customFormat="false" ht="60" hidden="false" customHeight="true" outlineLevel="0" collapsed="false">
      <c r="B14" s="61" t="s">
        <v>507</v>
      </c>
      <c r="C14" s="17" t="s">
        <v>512</v>
      </c>
      <c r="D14" s="17" t="s">
        <v>513</v>
      </c>
    </row>
    <row r="16" customFormat="false" ht="21.75" hidden="false" customHeight="true" outlineLevel="0" collapsed="false">
      <c r="B16" s="5" t="s">
        <v>33</v>
      </c>
      <c r="C16" s="5"/>
      <c r="D16" s="5"/>
    </row>
    <row r="17" customFormat="false" ht="24" hidden="false" customHeight="true" outlineLevel="0" collapsed="false">
      <c r="B17" s="58"/>
      <c r="C17" s="6" t="s">
        <v>500</v>
      </c>
      <c r="D17" s="6" t="s">
        <v>501</v>
      </c>
    </row>
    <row r="18" customFormat="false" ht="67.5" hidden="false" customHeight="true" outlineLevel="0" collapsed="false">
      <c r="B18" s="61" t="s">
        <v>502</v>
      </c>
      <c r="C18" s="17" t="s">
        <v>514</v>
      </c>
      <c r="D18" s="17" t="s">
        <v>515</v>
      </c>
    </row>
    <row r="19" customFormat="false" ht="24" hidden="false" customHeight="true" outlineLevel="0" collapsed="false">
      <c r="B19" s="58"/>
      <c r="C19" s="6" t="s">
        <v>505</v>
      </c>
      <c r="D19" s="6" t="s">
        <v>506</v>
      </c>
    </row>
    <row r="20" customFormat="false" ht="60" hidden="false" customHeight="true" outlineLevel="0" collapsed="false">
      <c r="B20" s="61" t="s">
        <v>507</v>
      </c>
      <c r="C20" s="17" t="s">
        <v>516</v>
      </c>
      <c r="D20" s="17" t="s">
        <v>517</v>
      </c>
    </row>
    <row r="22" customFormat="false" ht="21.75" hidden="false" customHeight="true" outlineLevel="0" collapsed="false">
      <c r="B22" s="5" t="s">
        <v>34</v>
      </c>
      <c r="C22" s="5"/>
      <c r="D22" s="5"/>
    </row>
    <row r="23" customFormat="false" ht="24" hidden="false" customHeight="true" outlineLevel="0" collapsed="false">
      <c r="B23" s="58"/>
      <c r="C23" s="6" t="s">
        <v>500</v>
      </c>
      <c r="D23" s="6" t="s">
        <v>501</v>
      </c>
    </row>
    <row r="24" customFormat="false" ht="67.5" hidden="false" customHeight="true" outlineLevel="0" collapsed="false">
      <c r="B24" s="61" t="s">
        <v>502</v>
      </c>
      <c r="C24" s="17" t="s">
        <v>518</v>
      </c>
      <c r="D24" s="17" t="s">
        <v>519</v>
      </c>
    </row>
    <row r="25" customFormat="false" ht="24" hidden="false" customHeight="true" outlineLevel="0" collapsed="false">
      <c r="B25" s="58"/>
      <c r="C25" s="6" t="s">
        <v>505</v>
      </c>
      <c r="D25" s="6" t="s">
        <v>506</v>
      </c>
    </row>
    <row r="26" customFormat="false" ht="60" hidden="false" customHeight="true" outlineLevel="0" collapsed="false">
      <c r="B26" s="61" t="s">
        <v>507</v>
      </c>
      <c r="C26" s="17" t="s">
        <v>520</v>
      </c>
      <c r="D26" s="17" t="s">
        <v>521</v>
      </c>
    </row>
    <row r="28" customFormat="false" ht="21.75" hidden="false" customHeight="true" outlineLevel="0" collapsed="false">
      <c r="B28" s="5" t="s">
        <v>35</v>
      </c>
      <c r="C28" s="5"/>
      <c r="D28" s="5"/>
    </row>
    <row r="29" customFormat="false" ht="24" hidden="false" customHeight="true" outlineLevel="0" collapsed="false">
      <c r="B29" s="58"/>
      <c r="C29" s="6" t="s">
        <v>500</v>
      </c>
      <c r="D29" s="6" t="s">
        <v>501</v>
      </c>
    </row>
    <row r="30" customFormat="false" ht="67.5" hidden="false" customHeight="true" outlineLevel="0" collapsed="false">
      <c r="B30" s="61" t="s">
        <v>502</v>
      </c>
      <c r="C30" s="17" t="s">
        <v>522</v>
      </c>
      <c r="D30" s="17" t="s">
        <v>523</v>
      </c>
    </row>
    <row r="31" customFormat="false" ht="24" hidden="false" customHeight="true" outlineLevel="0" collapsed="false">
      <c r="B31" s="58"/>
      <c r="C31" s="6" t="s">
        <v>505</v>
      </c>
      <c r="D31" s="6" t="s">
        <v>506</v>
      </c>
    </row>
    <row r="32" customFormat="false" ht="60" hidden="false" customHeight="true" outlineLevel="0" collapsed="false">
      <c r="B32" s="61" t="s">
        <v>507</v>
      </c>
      <c r="C32" s="17" t="s">
        <v>524</v>
      </c>
      <c r="D32" s="17" t="s">
        <v>525</v>
      </c>
    </row>
  </sheetData>
  <mergeCells count="6">
    <mergeCell ref="B3:D3"/>
    <mergeCell ref="B4:D4"/>
    <mergeCell ref="B10:D10"/>
    <mergeCell ref="B16:D16"/>
    <mergeCell ref="B22:D22"/>
    <mergeCell ref="B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46"/>
    <col collapsed="false" customWidth="true" hidden="false" outlineLevel="0" max="4" min="4" style="0" width="60"/>
  </cols>
  <sheetData>
    <row r="2" customFormat="false" ht="17.35" hidden="false" customHeight="false" outlineLevel="0" collapsed="false">
      <c r="B2" s="24" t="s">
        <v>526</v>
      </c>
    </row>
    <row r="4" customFormat="false" ht="21.75" hidden="false" customHeight="true" outlineLevel="0" collapsed="false">
      <c r="B4" s="5" t="s">
        <v>527</v>
      </c>
      <c r="C4" s="5"/>
      <c r="D4" s="5"/>
    </row>
    <row r="5" customFormat="false" ht="30" hidden="false" customHeight="true" outlineLevel="0" collapsed="false">
      <c r="B5" s="62" t="s">
        <v>528</v>
      </c>
      <c r="C5" s="62"/>
      <c r="D5" s="62"/>
    </row>
    <row r="6" customFormat="false" ht="30" hidden="false" customHeight="true" outlineLevel="0" collapsed="false">
      <c r="B6" s="62" t="s">
        <v>529</v>
      </c>
      <c r="C6" s="62"/>
      <c r="D6" s="62"/>
    </row>
    <row r="7" customFormat="false" ht="30" hidden="false" customHeight="true" outlineLevel="0" collapsed="false">
      <c r="B7" s="62" t="s">
        <v>530</v>
      </c>
      <c r="C7" s="62"/>
      <c r="D7" s="62"/>
    </row>
    <row r="8" customFormat="false" ht="30" hidden="false" customHeight="true" outlineLevel="0" collapsed="false">
      <c r="B8" s="62" t="s">
        <v>531</v>
      </c>
      <c r="C8" s="62"/>
      <c r="D8" s="62"/>
    </row>
    <row r="9" customFormat="false" ht="30" hidden="false" customHeight="true" outlineLevel="0" collapsed="false">
      <c r="B9" s="62" t="s">
        <v>532</v>
      </c>
      <c r="C9" s="62"/>
      <c r="D9" s="62"/>
    </row>
    <row r="10" customFormat="false" ht="30" hidden="false" customHeight="true" outlineLevel="0" collapsed="false">
      <c r="B10" s="62" t="s">
        <v>533</v>
      </c>
      <c r="C10" s="62"/>
      <c r="D10" s="62"/>
    </row>
    <row r="12" customFormat="false" ht="21.75" hidden="false" customHeight="true" outlineLevel="0" collapsed="false">
      <c r="B12" s="5" t="s">
        <v>534</v>
      </c>
      <c r="C12" s="5"/>
      <c r="D12" s="5"/>
    </row>
    <row r="13" customFormat="false" ht="24" hidden="false" customHeight="true" outlineLevel="0" collapsed="false">
      <c r="B13" s="6" t="s">
        <v>272</v>
      </c>
      <c r="C13" s="6" t="s">
        <v>535</v>
      </c>
      <c r="D13" s="63" t="s">
        <v>536</v>
      </c>
    </row>
    <row r="14" customFormat="false" ht="18" hidden="false" customHeight="true" outlineLevel="0" collapsed="false">
      <c r="B14" s="35" t="s">
        <v>276</v>
      </c>
      <c r="C14" s="30" t="s">
        <v>537</v>
      </c>
      <c r="D14" s="64" t="s">
        <v>538</v>
      </c>
    </row>
    <row r="15" customFormat="false" ht="18" hidden="false" customHeight="true" outlineLevel="0" collapsed="false">
      <c r="B15" s="35" t="s">
        <v>276</v>
      </c>
      <c r="C15" s="28" t="s">
        <v>539</v>
      </c>
      <c r="D15" s="64" t="s">
        <v>540</v>
      </c>
    </row>
    <row r="16" customFormat="false" ht="18" hidden="false" customHeight="true" outlineLevel="0" collapsed="false">
      <c r="B16" s="35" t="s">
        <v>276</v>
      </c>
      <c r="C16" s="30" t="s">
        <v>541</v>
      </c>
      <c r="D16" s="64" t="s">
        <v>542</v>
      </c>
    </row>
    <row r="17" customFormat="false" ht="18" hidden="false" customHeight="true" outlineLevel="0" collapsed="false">
      <c r="B17" s="35" t="s">
        <v>276</v>
      </c>
      <c r="C17" s="30" t="s">
        <v>543</v>
      </c>
      <c r="D17" s="64" t="s">
        <v>544</v>
      </c>
    </row>
    <row r="18" customFormat="false" ht="18" hidden="false" customHeight="true" outlineLevel="0" collapsed="false">
      <c r="B18" s="35" t="s">
        <v>32</v>
      </c>
      <c r="C18" s="28" t="s">
        <v>545</v>
      </c>
      <c r="D18" s="64" t="s">
        <v>546</v>
      </c>
    </row>
    <row r="19" customFormat="false" ht="18" hidden="false" customHeight="true" outlineLevel="0" collapsed="false">
      <c r="B19" s="35" t="s">
        <v>32</v>
      </c>
      <c r="C19" s="28" t="s">
        <v>547</v>
      </c>
      <c r="D19" s="64" t="s">
        <v>548</v>
      </c>
    </row>
    <row r="20" customFormat="false" ht="18" hidden="false" customHeight="true" outlineLevel="0" collapsed="false">
      <c r="B20" s="35" t="s">
        <v>32</v>
      </c>
      <c r="C20" s="28" t="s">
        <v>549</v>
      </c>
      <c r="D20" s="64" t="s">
        <v>550</v>
      </c>
    </row>
    <row r="21" customFormat="false" ht="18" hidden="false" customHeight="true" outlineLevel="0" collapsed="false">
      <c r="B21" s="35" t="s">
        <v>32</v>
      </c>
      <c r="C21" s="28" t="s">
        <v>551</v>
      </c>
      <c r="D21" s="64" t="s">
        <v>552</v>
      </c>
    </row>
    <row r="22" customFormat="false" ht="18" hidden="false" customHeight="true" outlineLevel="0" collapsed="false">
      <c r="B22" s="35" t="s">
        <v>33</v>
      </c>
      <c r="C22" s="28" t="s">
        <v>553</v>
      </c>
      <c r="D22" s="64" t="s">
        <v>554</v>
      </c>
    </row>
    <row r="23" customFormat="false" ht="18" hidden="false" customHeight="true" outlineLevel="0" collapsed="false">
      <c r="B23" s="35" t="s">
        <v>33</v>
      </c>
      <c r="C23" s="28" t="s">
        <v>555</v>
      </c>
      <c r="D23" s="64" t="s">
        <v>556</v>
      </c>
    </row>
    <row r="24" customFormat="false" ht="18" hidden="false" customHeight="true" outlineLevel="0" collapsed="false">
      <c r="B24" s="35" t="s">
        <v>33</v>
      </c>
      <c r="C24" s="30" t="s">
        <v>557</v>
      </c>
      <c r="D24" s="64" t="s">
        <v>558</v>
      </c>
    </row>
    <row r="25" customFormat="false" ht="18" hidden="false" customHeight="true" outlineLevel="0" collapsed="false">
      <c r="B25" s="35" t="s">
        <v>33</v>
      </c>
      <c r="C25" s="28" t="s">
        <v>559</v>
      </c>
      <c r="D25" s="64" t="s">
        <v>560</v>
      </c>
    </row>
    <row r="26" customFormat="false" ht="18" hidden="false" customHeight="true" outlineLevel="0" collapsed="false">
      <c r="B26" s="35" t="s">
        <v>34</v>
      </c>
      <c r="C26" s="30" t="s">
        <v>561</v>
      </c>
      <c r="D26" s="64" t="s">
        <v>562</v>
      </c>
    </row>
    <row r="27" customFormat="false" ht="18" hidden="false" customHeight="true" outlineLevel="0" collapsed="false">
      <c r="B27" s="35" t="s">
        <v>34</v>
      </c>
      <c r="C27" s="28" t="s">
        <v>563</v>
      </c>
      <c r="D27" s="64" t="s">
        <v>564</v>
      </c>
    </row>
    <row r="28" customFormat="false" ht="18" hidden="false" customHeight="true" outlineLevel="0" collapsed="false">
      <c r="B28" s="35" t="s">
        <v>34</v>
      </c>
      <c r="C28" s="28" t="s">
        <v>565</v>
      </c>
      <c r="D28" s="64" t="s">
        <v>566</v>
      </c>
    </row>
    <row r="29" customFormat="false" ht="18" hidden="false" customHeight="true" outlineLevel="0" collapsed="false">
      <c r="B29" s="35" t="s">
        <v>35</v>
      </c>
      <c r="C29" s="28" t="s">
        <v>567</v>
      </c>
      <c r="D29" s="64" t="s">
        <v>568</v>
      </c>
    </row>
    <row r="30" customFormat="false" ht="18" hidden="false" customHeight="true" outlineLevel="0" collapsed="false">
      <c r="B30" s="35" t="s">
        <v>35</v>
      </c>
      <c r="C30" s="28" t="s">
        <v>569</v>
      </c>
      <c r="D30" s="64" t="s">
        <v>570</v>
      </c>
    </row>
    <row r="31" customFormat="false" ht="18" hidden="false" customHeight="true" outlineLevel="0" collapsed="false">
      <c r="B31" s="35" t="s">
        <v>35</v>
      </c>
      <c r="C31" s="28" t="s">
        <v>571</v>
      </c>
      <c r="D31" s="64" t="s">
        <v>572</v>
      </c>
    </row>
    <row r="32" customFormat="false" ht="18" hidden="false" customHeight="true" outlineLevel="0" collapsed="false">
      <c r="B32" s="35" t="s">
        <v>573</v>
      </c>
      <c r="C32" s="30" t="s">
        <v>574</v>
      </c>
      <c r="D32" s="64" t="s">
        <v>575</v>
      </c>
    </row>
    <row r="33" customFormat="false" ht="18" hidden="false" customHeight="true" outlineLevel="0" collapsed="false">
      <c r="B33" s="35" t="s">
        <v>573</v>
      </c>
      <c r="C33" s="28" t="s">
        <v>576</v>
      </c>
      <c r="D33" s="64" t="s">
        <v>577</v>
      </c>
    </row>
    <row r="34" customFormat="false" ht="18" hidden="false" customHeight="true" outlineLevel="0" collapsed="false">
      <c r="B34" s="35" t="s">
        <v>573</v>
      </c>
      <c r="C34" s="28" t="s">
        <v>578</v>
      </c>
      <c r="D34" s="64" t="s">
        <v>579</v>
      </c>
    </row>
    <row r="35" customFormat="false" ht="18" hidden="false" customHeight="true" outlineLevel="0" collapsed="false">
      <c r="B35" s="35" t="s">
        <v>573</v>
      </c>
      <c r="C35" s="30" t="s">
        <v>580</v>
      </c>
      <c r="D35" s="64" t="s">
        <v>581</v>
      </c>
    </row>
    <row r="36" customFormat="false" ht="18" hidden="false" customHeight="true" outlineLevel="0" collapsed="false">
      <c r="B36" s="35" t="s">
        <v>573</v>
      </c>
      <c r="C36" s="30" t="s">
        <v>582</v>
      </c>
      <c r="D36" s="64" t="s">
        <v>583</v>
      </c>
    </row>
    <row r="37" customFormat="false" ht="18" hidden="false" customHeight="true" outlineLevel="0" collapsed="false">
      <c r="B37" s="35" t="s">
        <v>573</v>
      </c>
      <c r="C37" s="30" t="s">
        <v>584</v>
      </c>
      <c r="D37" s="64" t="s">
        <v>585</v>
      </c>
    </row>
    <row r="38" customFormat="false" ht="18" hidden="false" customHeight="true" outlineLevel="0" collapsed="false">
      <c r="B38" s="35" t="s">
        <v>586</v>
      </c>
      <c r="C38" s="30" t="s">
        <v>587</v>
      </c>
      <c r="D38" s="65" t="s">
        <v>588</v>
      </c>
    </row>
  </sheetData>
  <mergeCells count="8">
    <mergeCell ref="B4:D4"/>
    <mergeCell ref="B5:D5"/>
    <mergeCell ref="B6:D6"/>
    <mergeCell ref="B7:D7"/>
    <mergeCell ref="B8:D8"/>
    <mergeCell ref="B9:D9"/>
    <mergeCell ref="B10:D10"/>
    <mergeCell ref="B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2026-08-19T01:53:46Z</dcterms:created>
  <dc:creator>openpyxl</dc:creator>
  <dc:description/>
  <dc:language>en-US</dc:language>
  <cp:lastModifiedBy/>
  <dcterms:modified xsi:type="dcterms:W3CDTF">2026-08-19T01:53:48Z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