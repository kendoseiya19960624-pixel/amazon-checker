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入力" sheetId="1" state="visible" r:id="rId3"/>
    <sheet name="初期費用" sheetId="2" state="visible" r:id="rId4"/>
    <sheet name="月次返済" sheetId="3" state="visible" r:id="rId5"/>
    <sheet name="年次シミュレーション" sheetId="4" state="visible" r:id="rId6"/>
    <sheet name="サマリー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<sst xmlns="http://schemas.openxmlformats.org/spreadsheetml/2006/main" count="147" uniqueCount="142">
  <si>
    <r>
      <rPr>
        <b val="true"/>
        <sz val="14"/>
        <color rgb="FF0F3057"/>
        <rFont val="WenQuanYi Zen Hei"/>
        <family val="2"/>
      </rPr>
      <t xml:space="preserve">ブランズ中央林間 </t>
    </r>
    <r>
      <rPr>
        <b val="true"/>
        <sz val="14"/>
        <color rgb="FF0F3057"/>
        <rFont val="Yu Gothic"/>
        <family val="0"/>
        <charset val="1"/>
      </rPr>
      <t xml:space="preserve">W-A</t>
    </r>
    <r>
      <rPr>
        <b val="true"/>
        <sz val="14"/>
        <color rgb="FF0F3057"/>
        <rFont val="WenQuanYi Zen Hei"/>
        <family val="2"/>
      </rPr>
      <t xml:space="preserve">（</t>
    </r>
    <r>
      <rPr>
        <b val="true"/>
        <sz val="14"/>
        <color rgb="FF0F3057"/>
        <rFont val="Yu Gothic"/>
        <family val="0"/>
        <charset val="1"/>
      </rPr>
      <t xml:space="preserve">4LDK</t>
    </r>
    <r>
      <rPr>
        <b val="true"/>
        <sz val="14"/>
        <color rgb="FF0F3057"/>
        <rFont val="WenQuanYi Zen Hei"/>
        <family val="2"/>
      </rPr>
      <t xml:space="preserve">・</t>
    </r>
    <r>
      <rPr>
        <b val="true"/>
        <sz val="14"/>
        <color rgb="FF0F3057"/>
        <rFont val="Yu Gothic"/>
        <family val="0"/>
        <charset val="1"/>
      </rPr>
      <t xml:space="preserve">92.2</t>
    </r>
    <r>
      <rPr>
        <b val="true"/>
        <sz val="14"/>
        <color rgb="FF0F3057"/>
        <rFont val="WenQuanYi Zen Hei"/>
        <family val="2"/>
      </rPr>
      <t xml:space="preserve">㎡）費用シミュレーション：入力シート</t>
    </r>
  </si>
  <si>
    <t xml:space="preserve">【使い方】青字・黄色セルが変更可能な入力値。変更すると全シートが自動再計算されます。</t>
  </si>
  <si>
    <t xml:space="preserve">① 物件・購入条件</t>
  </si>
  <si>
    <t xml:space="preserve">物件価格（円）</t>
  </si>
  <si>
    <r>
      <rPr>
        <sz val="8"/>
        <color rgb="FF666666"/>
        <rFont val="WenQuanYi Zen Hei"/>
        <family val="2"/>
      </rPr>
      <t xml:space="preserve">営業提示価格（</t>
    </r>
    <r>
      <rPr>
        <sz val="8"/>
        <color rgb="FF666666"/>
        <rFont val="Yu Gothic"/>
        <family val="0"/>
        <charset val="1"/>
      </rPr>
      <t xml:space="preserve">2026</t>
    </r>
    <r>
      <rPr>
        <sz val="8"/>
        <color rgb="FF666666"/>
        <rFont val="WenQuanYi Zen Hei"/>
        <family val="2"/>
      </rPr>
      <t xml:space="preserve">年</t>
    </r>
    <r>
      <rPr>
        <sz val="8"/>
        <color rgb="FF666666"/>
        <rFont val="Yu Gothic"/>
        <family val="0"/>
        <charset val="1"/>
      </rPr>
      <t xml:space="preserve">8</t>
    </r>
    <r>
      <rPr>
        <sz val="8"/>
        <color rgb="FF666666"/>
        <rFont val="WenQuanYi Zen Hei"/>
        <family val="2"/>
      </rPr>
      <t xml:space="preserve">月時点）</t>
    </r>
  </si>
  <si>
    <t xml:space="preserve">頭金（円）</t>
  </si>
  <si>
    <r>
      <rPr>
        <sz val="8"/>
        <color rgb="FF666666"/>
        <rFont val="Yu Gothic"/>
        <family val="0"/>
        <charset val="1"/>
      </rPr>
      <t xml:space="preserve">0</t>
    </r>
    <r>
      <rPr>
        <sz val="8"/>
        <color rgb="FF666666"/>
        <rFont val="WenQuanYi Zen Hei"/>
        <family val="2"/>
      </rPr>
      <t xml:space="preserve">＝フルローン。頭金を入れると借入額が自動で減少</t>
    </r>
  </si>
  <si>
    <t xml:space="preserve">借入額（円）</t>
  </si>
  <si>
    <t xml:space="preserve">自動計算：物件価格－頭金</t>
  </si>
  <si>
    <t xml:space="preserve">返済期間（年）</t>
  </si>
  <si>
    <t xml:space="preserve">元利均等・ボーナス払いなし</t>
  </si>
  <si>
    <t xml:space="preserve">入居年（西暦）</t>
  </si>
  <si>
    <t xml:space="preserve">住宅ローン控除の起点</t>
  </si>
  <si>
    <t xml:space="preserve">② 金利シナリオ（変動金利）</t>
  </si>
  <si>
    <t xml:space="preserve">当初適用金利（年率）</t>
  </si>
  <si>
    <r>
      <rPr>
        <sz val="8"/>
        <color rgb="FF666666"/>
        <rFont val="Yu Gothic"/>
        <family val="0"/>
        <charset val="1"/>
      </rPr>
      <t xml:space="preserve">2026</t>
    </r>
    <r>
      <rPr>
        <sz val="8"/>
        <color rgb="FF666666"/>
        <rFont val="WenQuanYi Zen Hei"/>
        <family val="2"/>
      </rPr>
      <t xml:space="preserve">年</t>
    </r>
    <r>
      <rPr>
        <sz val="8"/>
        <color rgb="FF666666"/>
        <rFont val="Yu Gothic"/>
        <family val="0"/>
        <charset val="1"/>
      </rPr>
      <t xml:space="preserve">8</t>
    </r>
    <r>
      <rPr>
        <sz val="8"/>
        <color rgb="FF666666"/>
        <rFont val="WenQuanYi Zen Hei"/>
        <family val="2"/>
      </rPr>
      <t xml:space="preserve">月時点の変動金利水準（メガバンク約</t>
    </r>
    <r>
      <rPr>
        <sz val="8"/>
        <color rgb="FF666666"/>
        <rFont val="Yu Gothic"/>
        <family val="0"/>
        <charset val="1"/>
      </rPr>
      <t xml:space="preserve">1.08%</t>
    </r>
    <r>
      <rPr>
        <sz val="8"/>
        <color rgb="FF666666"/>
        <rFont val="WenQuanYi Zen Hei"/>
        <family val="2"/>
      </rPr>
      <t xml:space="preserve">・ネット系約</t>
    </r>
    <r>
      <rPr>
        <sz val="8"/>
        <color rgb="FF666666"/>
        <rFont val="Yu Gothic"/>
        <family val="0"/>
        <charset val="1"/>
      </rPr>
      <t xml:space="preserve">0.9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Yu Gothic"/>
        <family val="0"/>
        <charset val="1"/>
      </rPr>
      <t xml:space="preserve">1.3%</t>
    </r>
    <r>
      <rPr>
        <sz val="8"/>
        <color rgb="FF666666"/>
        <rFont val="WenQuanYi Zen Hei"/>
        <family val="2"/>
      </rPr>
      <t xml:space="preserve">）</t>
    </r>
  </si>
  <si>
    <t xml:space="preserve">金利改定① 開始年目</t>
  </si>
  <si>
    <r>
      <rPr>
        <sz val="8"/>
        <color rgb="FF666666"/>
        <rFont val="WenQuanYi Zen Hei"/>
        <family val="2"/>
      </rPr>
      <t xml:space="preserve">日銀追加利上げを想定（野村證券予想：</t>
    </r>
    <r>
      <rPr>
        <sz val="8"/>
        <color rgb="FF666666"/>
        <rFont val="Yu Gothic"/>
        <family val="0"/>
        <charset val="1"/>
      </rPr>
      <t xml:space="preserve">2026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Yu Gothic"/>
        <family val="0"/>
        <charset val="1"/>
      </rPr>
      <t xml:space="preserve">27</t>
    </r>
    <r>
      <rPr>
        <sz val="8"/>
        <color rgb="FF666666"/>
        <rFont val="WenQuanYi Zen Hei"/>
        <family val="2"/>
      </rPr>
      <t xml:space="preserve">年に</t>
    </r>
    <r>
      <rPr>
        <sz val="8"/>
        <color rgb="FF666666"/>
        <rFont val="Yu Gothic"/>
        <family val="0"/>
        <charset val="1"/>
      </rPr>
      <t xml:space="preserve">+0.5%</t>
    </r>
    <r>
      <rPr>
        <sz val="8"/>
        <color rgb="FF666666"/>
        <rFont val="WenQuanYi Zen Hei"/>
        <family val="2"/>
      </rPr>
      <t xml:space="preserve">）</t>
    </r>
  </si>
  <si>
    <t xml:space="preserve">改定①後の金利</t>
  </si>
  <si>
    <t xml:space="preserve">金利改定② 開始年目</t>
  </si>
  <si>
    <t xml:space="preserve">改定②後の金利</t>
  </si>
  <si>
    <t xml:space="preserve">上昇なしを見たい場合は①②とも当初金利と同じ値に</t>
  </si>
  <si>
    <t xml:space="preserve">③ 毎月のランニングコスト（管理関連は営業提示の実費）</t>
  </si>
  <si>
    <t xml:space="preserve">管理費（月額）</t>
  </si>
  <si>
    <r>
      <rPr>
        <sz val="8"/>
        <color rgb="FF666666"/>
        <rFont val="WenQuanYi Zen Hei"/>
        <family val="2"/>
      </rPr>
      <t xml:space="preserve">実費（営業提示）。</t>
    </r>
    <r>
      <rPr>
        <sz val="8"/>
        <color rgb="FF666666"/>
        <rFont val="Yu Gothic"/>
        <family val="0"/>
        <charset val="1"/>
      </rPr>
      <t xml:space="preserve">92.2</t>
    </r>
    <r>
      <rPr>
        <sz val="8"/>
        <color rgb="FF666666"/>
        <rFont val="WenQuanYi Zen Hei"/>
        <family val="2"/>
      </rPr>
      <t xml:space="preserve">㎡→約</t>
    </r>
    <r>
      <rPr>
        <sz val="8"/>
        <color rgb="FF666666"/>
        <rFont val="Yu Gothic"/>
        <family val="0"/>
        <charset val="1"/>
      </rPr>
      <t xml:space="preserve">309</t>
    </r>
    <r>
      <rPr>
        <sz val="8"/>
        <color rgb="FF666666"/>
        <rFont val="WenQuanYi Zen Hei"/>
        <family val="2"/>
      </rPr>
      <t xml:space="preserve">円</t>
    </r>
    <r>
      <rPr>
        <sz val="8"/>
        <color rgb="FF666666"/>
        <rFont val="Yu Gothic"/>
        <family val="0"/>
        <charset val="1"/>
      </rPr>
      <t xml:space="preserve">/</t>
    </r>
    <r>
      <rPr>
        <sz val="8"/>
        <color rgb="FF666666"/>
        <rFont val="WenQuanYi Zen Hei"/>
        <family val="2"/>
      </rPr>
      <t xml:space="preserve">㎡：やや高め水準</t>
    </r>
  </si>
  <si>
    <t xml:space="preserve">管理費の年間上昇率</t>
  </si>
  <si>
    <r>
      <rPr>
        <sz val="8"/>
        <color rgb="FF666666"/>
        <rFont val="WenQuanYi Zen Hei"/>
        <family val="2"/>
      </rPr>
      <t xml:space="preserve">過去実績では</t>
    </r>
    <r>
      <rPr>
        <sz val="8"/>
        <color rgb="FF666666"/>
        <rFont val="Yu Gothic"/>
        <family val="0"/>
        <charset val="1"/>
      </rPr>
      <t xml:space="preserve">10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Yu Gothic"/>
        <family val="0"/>
        <charset val="1"/>
      </rPr>
      <t xml:space="preserve">20</t>
    </r>
    <r>
      <rPr>
        <sz val="8"/>
        <color rgb="FF666666"/>
        <rFont val="WenQuanYi Zen Hei"/>
        <family val="2"/>
      </rPr>
      <t xml:space="preserve">年で</t>
    </r>
    <r>
      <rPr>
        <sz val="8"/>
        <color rgb="FF666666"/>
        <rFont val="Yu Gothic"/>
        <family val="0"/>
        <charset val="1"/>
      </rPr>
      <t xml:space="preserve">1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Yu Gothic"/>
        <family val="0"/>
        <charset val="1"/>
      </rPr>
      <t xml:space="preserve">2</t>
    </r>
    <r>
      <rPr>
        <sz val="8"/>
        <color rgb="FF666666"/>
        <rFont val="WenQuanYi Zen Hei"/>
        <family val="2"/>
      </rPr>
      <t xml:space="preserve">割上昇する例も。保守的に見るなら</t>
    </r>
    <r>
      <rPr>
        <sz val="8"/>
        <color rgb="FF666666"/>
        <rFont val="Yu Gothic"/>
        <family val="0"/>
        <charset val="1"/>
      </rPr>
      <t xml:space="preserve">1%</t>
    </r>
  </si>
  <si>
    <r>
      <rPr>
        <sz val="10"/>
        <color rgb="FF000000"/>
        <rFont val="WenQuanYi Zen Hei"/>
        <family val="2"/>
      </rPr>
      <t xml:space="preserve">修繕積立金 第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段階（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年目〜・月額）</t>
    </r>
  </si>
  <si>
    <r>
      <rPr>
        <sz val="8"/>
        <color rgb="FF666666"/>
        <rFont val="WenQuanYi Zen Hei"/>
        <family val="2"/>
      </rPr>
      <t xml:space="preserve">実費（営業提示）。</t>
    </r>
    <r>
      <rPr>
        <sz val="8"/>
        <color rgb="FF666666"/>
        <rFont val="Yu Gothic"/>
        <family val="0"/>
        <charset val="1"/>
      </rPr>
      <t xml:space="preserve">92.2</t>
    </r>
    <r>
      <rPr>
        <sz val="8"/>
        <color rgb="FF666666"/>
        <rFont val="WenQuanYi Zen Hei"/>
        <family val="2"/>
      </rPr>
      <t xml:space="preserve">㎡→約</t>
    </r>
    <r>
      <rPr>
        <sz val="8"/>
        <color rgb="FF666666"/>
        <rFont val="Yu Gothic"/>
        <family val="0"/>
        <charset val="1"/>
      </rPr>
      <t xml:space="preserve">180</t>
    </r>
    <r>
      <rPr>
        <sz val="8"/>
        <color rgb="FF666666"/>
        <rFont val="WenQuanYi Zen Hei"/>
        <family val="2"/>
      </rPr>
      <t xml:space="preserve">円</t>
    </r>
    <r>
      <rPr>
        <sz val="8"/>
        <color rgb="FF666666"/>
        <rFont val="Yu Gothic"/>
        <family val="0"/>
        <charset val="1"/>
      </rPr>
      <t xml:space="preserve">/</t>
    </r>
    <r>
      <rPr>
        <sz val="8"/>
        <color rgb="FF666666"/>
        <rFont val="WenQuanYi Zen Hei"/>
        <family val="2"/>
      </rPr>
      <t xml:space="preserve">㎡</t>
    </r>
  </si>
  <si>
    <r>
      <rPr>
        <sz val="10"/>
        <color rgb="FF000000"/>
        <rFont val="WenQuanYi Zen Hei"/>
        <family val="2"/>
      </rPr>
      <t xml:space="preserve">修繕積立金 第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段階：開始年目／月額</t>
    </r>
  </si>
  <si>
    <r>
      <rPr>
        <sz val="8"/>
        <color rgb="FF666666"/>
        <rFont val="WenQuanYi Zen Hei"/>
        <family val="2"/>
      </rPr>
      <t xml:space="preserve">推定（一般的な段階増額計画</t>
    </r>
    <r>
      <rPr>
        <sz val="8"/>
        <color rgb="FF666666"/>
        <rFont val="Yu Gothic"/>
        <family val="0"/>
        <charset val="1"/>
      </rPr>
      <t xml:space="preserve">×1.5</t>
    </r>
    <r>
      <rPr>
        <sz val="8"/>
        <color rgb="FF666666"/>
        <rFont val="WenQuanYi Zen Hei"/>
        <family val="2"/>
      </rPr>
      <t xml:space="preserve">倍）。長期修繕計画の実額に書き換えてください</t>
    </r>
  </si>
  <si>
    <r>
      <rPr>
        <sz val="10"/>
        <color rgb="FF000000"/>
        <rFont val="WenQuanYi Zen Hei"/>
        <family val="2"/>
      </rPr>
      <t xml:space="preserve">修繕積立金 第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段階：開始年目／月額</t>
    </r>
  </si>
  <si>
    <r>
      <rPr>
        <sz val="8"/>
        <color rgb="FF666666"/>
        <rFont val="WenQuanYi Zen Hei"/>
        <family val="2"/>
      </rPr>
      <t xml:space="preserve">推定（</t>
    </r>
    <r>
      <rPr>
        <sz val="8"/>
        <color rgb="FF666666"/>
        <rFont val="Yu Gothic"/>
        <family val="0"/>
        <charset val="1"/>
      </rPr>
      <t xml:space="preserve">×2.0</t>
    </r>
    <r>
      <rPr>
        <sz val="8"/>
        <color rgb="FF666666"/>
        <rFont val="WenQuanYi Zen Hei"/>
        <family val="2"/>
      </rPr>
      <t xml:space="preserve">倍）</t>
    </r>
  </si>
  <si>
    <r>
      <rPr>
        <sz val="10"/>
        <color rgb="FF000000"/>
        <rFont val="WenQuanYi Zen Hei"/>
        <family val="2"/>
      </rPr>
      <t xml:space="preserve">修繕積立金 第</t>
    </r>
    <r>
      <rPr>
        <sz val="10"/>
        <color rgb="FF000000"/>
        <rFont val="Yu Gothic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段階：開始年目／月額</t>
    </r>
  </si>
  <si>
    <r>
      <rPr>
        <sz val="8"/>
        <color rgb="FF666666"/>
        <rFont val="WenQuanYi Zen Hei"/>
        <family val="2"/>
      </rPr>
      <t xml:space="preserve">推定（</t>
    </r>
    <r>
      <rPr>
        <sz val="8"/>
        <color rgb="FF666666"/>
        <rFont val="Yu Gothic"/>
        <family val="0"/>
        <charset val="1"/>
      </rPr>
      <t xml:space="preserve">×2.25</t>
    </r>
    <r>
      <rPr>
        <sz val="8"/>
        <color rgb="FF666666"/>
        <rFont val="WenQuanYi Zen Hei"/>
        <family val="2"/>
      </rPr>
      <t xml:space="preserve">倍）。国交省ガイドライン水準への到達を仮定</t>
    </r>
  </si>
  <si>
    <t xml:space="preserve">テレビ利用料（月額）</t>
  </si>
  <si>
    <t xml:space="preserve">実費（営業提示）</t>
  </si>
  <si>
    <t xml:space="preserve">インターネット利用料（月額）</t>
  </si>
  <si>
    <t xml:space="preserve">実費（営業提示・全戸一括型）</t>
  </si>
  <si>
    <t xml:space="preserve">④ 税金（推定・納税通知書で要確認）</t>
  </si>
  <si>
    <t xml:space="preserve">固定資産税・都市計画税 軽減中（年額）</t>
  </si>
  <si>
    <r>
      <rPr>
        <sz val="8"/>
        <color rgb="FF666666"/>
        <rFont val="WenQuanYi Zen Hei"/>
        <family val="2"/>
      </rPr>
      <t xml:space="preserve">推定。新築マンションは</t>
    </r>
    <r>
      <rPr>
        <sz val="8"/>
        <color rgb="FF666666"/>
        <rFont val="Yu Gothic"/>
        <family val="0"/>
        <charset val="1"/>
      </rPr>
      <t xml:space="preserve">5</t>
    </r>
    <r>
      <rPr>
        <sz val="8"/>
        <color rgb="FF666666"/>
        <rFont val="WenQuanYi Zen Hei"/>
        <family val="2"/>
      </rPr>
      <t xml:space="preserve">年間 建物分</t>
    </r>
    <r>
      <rPr>
        <sz val="8"/>
        <color rgb="FF666666"/>
        <rFont val="Yu Gothic"/>
        <family val="0"/>
        <charset val="1"/>
      </rPr>
      <t xml:space="preserve">1/2</t>
    </r>
    <r>
      <rPr>
        <sz val="8"/>
        <color rgb="FF666666"/>
        <rFont val="WenQuanYi Zen Hei"/>
        <family val="2"/>
      </rPr>
      <t xml:space="preserve">軽減</t>
    </r>
  </si>
  <si>
    <t xml:space="preserve">同 軽減終了後（年額）</t>
  </si>
  <si>
    <t xml:space="preserve">推定</t>
  </si>
  <si>
    <t xml:space="preserve">軽減年数</t>
  </si>
  <si>
    <r>
      <rPr>
        <sz val="8"/>
        <color rgb="FF666666"/>
        <rFont val="WenQuanYi Zen Hei"/>
        <family val="2"/>
      </rPr>
      <t xml:space="preserve">新築中高層耐火住宅は</t>
    </r>
    <r>
      <rPr>
        <sz val="8"/>
        <color rgb="FF666666"/>
        <rFont val="Yu Gothic"/>
        <family val="0"/>
        <charset val="1"/>
      </rPr>
      <t xml:space="preserve">5</t>
    </r>
    <r>
      <rPr>
        <sz val="8"/>
        <color rgb="FF666666"/>
        <rFont val="WenQuanYi Zen Hei"/>
        <family val="2"/>
      </rPr>
      <t xml:space="preserve">年</t>
    </r>
  </si>
  <si>
    <r>
      <rPr>
        <b val="true"/>
        <sz val="11"/>
        <color rgb="FFFFFFFF"/>
        <rFont val="WenQuanYi Zen Hei"/>
        <family val="2"/>
      </rPr>
      <t xml:space="preserve">⑤ 住宅ローン控除（</t>
    </r>
    <r>
      <rPr>
        <b val="true"/>
        <sz val="11"/>
        <color rgb="FFFFFFFF"/>
        <rFont val="Yu Gothic"/>
        <family val="0"/>
        <charset val="1"/>
      </rPr>
      <t xml:space="preserve">2026</t>
    </r>
    <r>
      <rPr>
        <b val="true"/>
        <sz val="11"/>
        <color rgb="FFFFFFFF"/>
        <rFont val="WenQuanYi Zen Hei"/>
        <family val="2"/>
      </rPr>
      <t xml:space="preserve">年入居・新築）</t>
    </r>
  </si>
  <si>
    <t xml:space="preserve">控除率</t>
  </si>
  <si>
    <r>
      <rPr>
        <sz val="8"/>
        <color rgb="FF666666"/>
        <rFont val="Yu Gothic"/>
        <family val="0"/>
        <charset val="1"/>
      </rPr>
      <t xml:space="preserve">2026</t>
    </r>
    <r>
      <rPr>
        <sz val="8"/>
        <color rgb="FF666666"/>
        <rFont val="WenQuanYi Zen Hei"/>
        <family val="2"/>
      </rPr>
      <t xml:space="preserve">年入居：</t>
    </r>
    <r>
      <rPr>
        <sz val="8"/>
        <color rgb="FF666666"/>
        <rFont val="Yu Gothic"/>
        <family val="0"/>
        <charset val="1"/>
      </rPr>
      <t xml:space="preserve">0.7%</t>
    </r>
  </si>
  <si>
    <t xml:space="preserve">控除年数</t>
  </si>
  <si>
    <r>
      <rPr>
        <sz val="8"/>
        <color rgb="FF666666"/>
        <rFont val="WenQuanYi Zen Hei"/>
        <family val="2"/>
      </rPr>
      <t xml:space="preserve">新築は</t>
    </r>
    <r>
      <rPr>
        <sz val="8"/>
        <color rgb="FF666666"/>
        <rFont val="Yu Gothic"/>
        <family val="0"/>
        <charset val="1"/>
      </rPr>
      <t xml:space="preserve">13</t>
    </r>
    <r>
      <rPr>
        <sz val="8"/>
        <color rgb="FF666666"/>
        <rFont val="WenQuanYi Zen Hei"/>
        <family val="2"/>
      </rPr>
      <t xml:space="preserve">年</t>
    </r>
  </si>
  <si>
    <t xml:space="preserve">借入限度額（円）</t>
  </si>
  <si>
    <r>
      <rPr>
        <sz val="8"/>
        <color rgb="FF666666"/>
        <rFont val="Yu Gothic"/>
        <family val="0"/>
        <charset val="1"/>
      </rPr>
      <t xml:space="preserve">ZEH</t>
    </r>
    <r>
      <rPr>
        <sz val="8"/>
        <color rgb="FF666666"/>
        <rFont val="WenQuanYi Zen Hei"/>
        <family val="2"/>
      </rPr>
      <t xml:space="preserve">水準</t>
    </r>
    <r>
      <rPr>
        <sz val="8"/>
        <color rgb="FF666666"/>
        <rFont val="Yu Gothic"/>
        <family val="0"/>
        <charset val="1"/>
      </rPr>
      <t xml:space="preserve">3,500</t>
    </r>
    <r>
      <rPr>
        <sz val="8"/>
        <color rgb="FF666666"/>
        <rFont val="WenQuanYi Zen Hei"/>
        <family val="2"/>
      </rPr>
      <t xml:space="preserve">万（一般世帯）。子育て・若者夫婦世帯は</t>
    </r>
    <r>
      <rPr>
        <sz val="8"/>
        <color rgb="FF666666"/>
        <rFont val="Yu Gothic"/>
        <family val="0"/>
        <charset val="1"/>
      </rPr>
      <t xml:space="preserve">45,000,000</t>
    </r>
    <r>
      <rPr>
        <sz val="8"/>
        <color rgb="FF666666"/>
        <rFont val="WenQuanYi Zen Hei"/>
        <family val="2"/>
      </rPr>
      <t xml:space="preserve">に変更。省エネ基準止まりなら</t>
    </r>
    <r>
      <rPr>
        <sz val="8"/>
        <color rgb="FF666666"/>
        <rFont val="Yu Gothic"/>
        <family val="0"/>
        <charset val="1"/>
      </rPr>
      <t xml:space="preserve">20,000,000</t>
    </r>
    <r>
      <rPr>
        <sz val="8"/>
        <color rgb="FF666666"/>
        <rFont val="WenQuanYi Zen Hei"/>
        <family val="2"/>
      </rPr>
      <t xml:space="preserve">。物件の省エネ区分は要確認</t>
    </r>
  </si>
  <si>
    <t xml:space="preserve">⑥ 年収・家計</t>
  </si>
  <si>
    <t xml:space="preserve">年収（ローン名義人・初年度）</t>
  </si>
  <si>
    <t xml:space="preserve">額面。年次シートの年収列は個別年の上書きも可能</t>
  </si>
  <si>
    <t xml:space="preserve">年収上昇率（年）</t>
  </si>
  <si>
    <r>
      <rPr>
        <sz val="8"/>
        <color rgb="FF666666"/>
        <rFont val="WenQuanYi Zen Hei"/>
        <family val="2"/>
      </rPr>
      <t xml:space="preserve">昇給見込み。</t>
    </r>
    <r>
      <rPr>
        <sz val="8"/>
        <color rgb="FF666666"/>
        <rFont val="Yu Gothic"/>
        <family val="0"/>
        <charset val="1"/>
      </rPr>
      <t xml:space="preserve">0%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Yu Gothic"/>
        <family val="0"/>
        <charset val="1"/>
      </rPr>
      <t xml:space="preserve">3%</t>
    </r>
    <r>
      <rPr>
        <sz val="8"/>
        <color rgb="FF666666"/>
        <rFont val="WenQuanYi Zen Hei"/>
        <family val="2"/>
      </rPr>
      <t xml:space="preserve">で感度を見る</t>
    </r>
  </si>
  <si>
    <t xml:space="preserve">手取り率（概算）</t>
  </si>
  <si>
    <t xml:space="preserve">額面→手取りの概算率</t>
  </si>
  <si>
    <t xml:space="preserve">初期費用（購入時に必要な自己資金）の全洗い出し</t>
  </si>
  <si>
    <t xml:space="preserve">項目</t>
  </si>
  <si>
    <t xml:space="preserve">金額（円）</t>
  </si>
  <si>
    <t xml:space="preserve">料率等</t>
  </si>
  <si>
    <t xml:space="preserve">根拠・メモ（青字は変更可能な概算値）</t>
  </si>
  <si>
    <t xml:space="preserve">頭金</t>
  </si>
  <si>
    <t xml:space="preserve">入力シート⑤と連動</t>
  </si>
  <si>
    <t xml:space="preserve">修繕積立基金（引渡時一括）</t>
  </si>
  <si>
    <r>
      <rPr>
        <sz val="8"/>
        <color rgb="FF666666"/>
        <rFont val="WenQuanYi Zen Hei"/>
        <family val="2"/>
      </rPr>
      <t xml:space="preserve">実費（営業提示）。一般的水準（</t>
    </r>
    <r>
      <rPr>
        <sz val="8"/>
        <color rgb="FF666666"/>
        <rFont val="Yu Gothic"/>
        <family val="0"/>
        <charset val="1"/>
      </rPr>
      <t xml:space="preserve">50</t>
    </r>
    <r>
      <rPr>
        <sz val="8"/>
        <color rgb="FF666666"/>
        <rFont val="WenQuanYi Zen Hei"/>
        <family val="2"/>
      </rPr>
      <t xml:space="preserve">万円前後）より大幅に高い。その分、月額修繕積立金が抑えられている設計</t>
    </r>
  </si>
  <si>
    <t xml:space="preserve">管理準備金（引渡時一括）</t>
  </si>
  <si>
    <t xml:space="preserve">登記費用（保存・移転・抵当権＋司法書士報酬）</t>
  </si>
  <si>
    <t xml:space="preserve">概算。司法書士見積で確定</t>
  </si>
  <si>
    <t xml:space="preserve">融資事務手数料</t>
  </si>
  <si>
    <r>
      <rPr>
        <sz val="8"/>
        <color rgb="FF666666"/>
        <rFont val="WenQuanYi Zen Hei"/>
        <family val="2"/>
      </rPr>
      <t xml:space="preserve">借入額</t>
    </r>
    <r>
      <rPr>
        <sz val="8"/>
        <color rgb="FF666666"/>
        <rFont val="Yu Gothic"/>
        <family val="0"/>
        <charset val="1"/>
      </rPr>
      <t xml:space="preserve">×</t>
    </r>
    <r>
      <rPr>
        <sz val="8"/>
        <color rgb="FF666666"/>
        <rFont val="WenQuanYi Zen Hei"/>
        <family val="2"/>
      </rPr>
      <t xml:space="preserve">料率（ネット銀行標準</t>
    </r>
    <r>
      <rPr>
        <sz val="8"/>
        <color rgb="FF666666"/>
        <rFont val="Yu Gothic"/>
        <family val="0"/>
        <charset val="1"/>
      </rPr>
      <t xml:space="preserve">2.20%</t>
    </r>
    <r>
      <rPr>
        <sz val="8"/>
        <color rgb="FF666666"/>
        <rFont val="WenQuanYi Zen Hei"/>
        <family val="2"/>
      </rPr>
      <t xml:space="preserve">）。保証料型の銀行なら料率を変更</t>
    </r>
  </si>
  <si>
    <t xml:space="preserve">印紙税（売買・ローン契約）</t>
  </si>
  <si>
    <t xml:space="preserve">電子契約なら売買分は不要の場合あり</t>
  </si>
  <si>
    <r>
      <rPr>
        <sz val="10"/>
        <color rgb="FF000000"/>
        <rFont val="WenQuanYi Zen Hei"/>
        <family val="2"/>
      </rPr>
      <t xml:space="preserve">火災・地震保険（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年一括）</t>
    </r>
  </si>
  <si>
    <r>
      <rPr>
        <sz val="8"/>
        <color rgb="FF666666"/>
        <rFont val="WenQuanYi Zen Hei"/>
        <family val="2"/>
      </rPr>
      <t xml:space="preserve">概算。補償内容により</t>
    </r>
    <r>
      <rPr>
        <sz val="8"/>
        <color rgb="FF666666"/>
        <rFont val="Yu Gothic"/>
        <family val="0"/>
        <charset val="1"/>
      </rPr>
      <t xml:space="preserve">10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Yu Gothic"/>
        <family val="0"/>
        <charset val="1"/>
      </rPr>
      <t xml:space="preserve">30</t>
    </r>
    <r>
      <rPr>
        <sz val="8"/>
        <color rgb="FF666666"/>
        <rFont val="WenQuanYi Zen Hei"/>
        <family val="2"/>
      </rPr>
      <t xml:space="preserve">万円</t>
    </r>
  </si>
  <si>
    <t xml:space="preserve">固定資産税・都市計画税 清算金</t>
  </si>
  <si>
    <t xml:space="preserve">引渡日以降の日割分。概算</t>
  </si>
  <si>
    <t xml:space="preserve">不動産取得税（軽減適用後）</t>
  </si>
  <si>
    <r>
      <rPr>
        <sz val="8"/>
        <color rgb="FF666666"/>
        <rFont val="WenQuanYi Zen Hei"/>
        <family val="2"/>
      </rPr>
      <t xml:space="preserve">新築・床面積要件で軽減後</t>
    </r>
    <r>
      <rPr>
        <sz val="8"/>
        <color rgb="FF666666"/>
        <rFont val="Yu Gothic"/>
        <family val="0"/>
        <charset val="1"/>
      </rPr>
      <t xml:space="preserve">0</t>
    </r>
    <r>
      <rPr>
        <sz val="8"/>
        <color rgb="FF666666"/>
        <rFont val="WenQuanYi Zen Hei"/>
        <family val="2"/>
      </rPr>
      <t xml:space="preserve">円と推定。要確認</t>
    </r>
  </si>
  <si>
    <t xml:space="preserve">引越し費用</t>
  </si>
  <si>
    <t xml:space="preserve">概算</t>
  </si>
  <si>
    <t xml:space="preserve">オプション・インテリア予備費</t>
  </si>
  <si>
    <t xml:space="preserve">食洗機・照明・カーテン等。交渉でサービス化を狙う項目</t>
  </si>
  <si>
    <t xml:space="preserve">諸費用合計（頭金を除く）</t>
  </si>
  <si>
    <t xml:space="preserve">初期自己資金 合計（頭金＋諸費用）</t>
  </si>
  <si>
    <r>
      <rPr>
        <sz val="8"/>
        <color rgb="FFB23A48"/>
        <rFont val="WenQuanYi Zen Hei"/>
        <family val="2"/>
      </rPr>
      <t xml:space="preserve">当初想定の「諸費用</t>
    </r>
    <r>
      <rPr>
        <sz val="8"/>
        <color rgb="FFB23A48"/>
        <rFont val="Yu Gothic"/>
        <family val="0"/>
        <charset val="1"/>
      </rPr>
      <t xml:space="preserve">400</t>
    </r>
    <r>
      <rPr>
        <sz val="8"/>
        <color rgb="FFB23A48"/>
        <rFont val="WenQuanYi Zen Hei"/>
        <family val="2"/>
      </rPr>
      <t xml:space="preserve">万円」を上回る点に注意（修繕積立基金約</t>
    </r>
    <r>
      <rPr>
        <sz val="8"/>
        <color rgb="FFB23A48"/>
        <rFont val="Yu Gothic"/>
        <family val="0"/>
        <charset val="1"/>
      </rPr>
      <t xml:space="preserve">199</t>
    </r>
    <r>
      <rPr>
        <sz val="8"/>
        <color rgb="FFB23A48"/>
        <rFont val="WenQuanYi Zen Hei"/>
        <family val="2"/>
      </rPr>
      <t xml:space="preserve">万円が主因）</t>
    </r>
  </si>
  <si>
    <t xml:space="preserve">月</t>
  </si>
  <si>
    <t xml:space="preserve">年目</t>
  </si>
  <si>
    <r>
      <rPr>
        <b val="true"/>
        <sz val="11"/>
        <color rgb="FFFFFFFF"/>
        <rFont val="WenQuanYi Zen Hei"/>
        <family val="2"/>
      </rPr>
      <t xml:space="preserve">適用金利</t>
    </r>
    <r>
      <rPr>
        <b val="true"/>
        <sz val="11"/>
        <color rgb="FFFFFFFF"/>
        <rFont val="Yu Gothic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年率</t>
    </r>
    <r>
      <rPr>
        <b val="true"/>
        <sz val="11"/>
        <color rgb="FFFFFFFF"/>
        <rFont val="Yu Gothic"/>
        <family val="0"/>
        <charset val="1"/>
      </rPr>
      <t xml:space="preserve">)</t>
    </r>
  </si>
  <si>
    <t xml:space="preserve">月初残高</t>
  </si>
  <si>
    <t xml:space="preserve">月返済額</t>
  </si>
  <si>
    <t xml:space="preserve">うち利息</t>
  </si>
  <si>
    <t xml:space="preserve">うち元金</t>
  </si>
  <si>
    <t xml:space="preserve">月末残高</t>
  </si>
  <si>
    <t xml:space="preserve">※金利は入力シート②のシナリオに従い年単位で切替。返済額は残高・残期間から毎月再計算（＝金利改定時に自動で返済額が変わる方式）</t>
  </si>
  <si>
    <t xml:space="preserve">西暦</t>
  </si>
  <si>
    <r>
      <rPr>
        <b val="true"/>
        <sz val="9"/>
        <color rgb="FFFFFFFF"/>
        <rFont val="WenQuanYi Zen Hei"/>
        <family val="2"/>
      </rPr>
      <t xml:space="preserve">年収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額面</t>
    </r>
    <r>
      <rPr>
        <b val="true"/>
        <sz val="9"/>
        <color rgb="FFFFFFFF"/>
        <rFont val="Yu Gothic"/>
        <family val="0"/>
        <charset val="1"/>
      </rPr>
      <t xml:space="preserve">)※</t>
    </r>
    <r>
      <rPr>
        <b val="true"/>
        <sz val="9"/>
        <color rgb="FFFFFFFF"/>
        <rFont val="WenQuanYi Zen Hei"/>
        <family val="2"/>
      </rPr>
      <t xml:space="preserve">上書き可</t>
    </r>
  </si>
  <si>
    <t xml:space="preserve">手取り概算</t>
  </si>
  <si>
    <t xml:space="preserve">年間ローン返済</t>
  </si>
  <si>
    <t xml:space="preserve">年末ローン残高</t>
  </si>
  <si>
    <r>
      <rPr>
        <b val="true"/>
        <sz val="9"/>
        <color rgb="FFFFFFFF"/>
        <rFont val="WenQuanYi Zen Hei"/>
        <family val="2"/>
      </rPr>
      <t xml:space="preserve">控除額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残高基準</t>
    </r>
    <r>
      <rPr>
        <b val="true"/>
        <sz val="9"/>
        <color rgb="FFFFFFFF"/>
        <rFont val="Yu Gothic"/>
        <family val="0"/>
        <charset val="1"/>
      </rPr>
      <t xml:space="preserve">)</t>
    </r>
  </si>
  <si>
    <t xml:space="preserve">課税所得概算</t>
  </si>
  <si>
    <t xml:space="preserve">所得税概算</t>
  </si>
  <si>
    <t xml:space="preserve">控除上限概算</t>
  </si>
  <si>
    <r>
      <rPr>
        <b val="true"/>
        <sz val="9"/>
        <color rgb="FFFFFFFF"/>
        <rFont val="WenQuanYi Zen Hei"/>
        <family val="2"/>
      </rPr>
      <t xml:space="preserve">住宅ローン控除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適用額</t>
    </r>
    <r>
      <rPr>
        <b val="true"/>
        <sz val="9"/>
        <color rgb="FFFFFFFF"/>
        <rFont val="Yu Gothic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</si>
  <si>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管理費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Yu Gothic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</si>
  <si>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修繕積立金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Yu Gothic"/>
        <family val="0"/>
        <charset val="1"/>
      </rPr>
      <t xml:space="preserve">)</t>
    </r>
  </si>
  <si>
    <r>
      <rPr>
        <b val="true"/>
        <sz val="9"/>
        <color rgb="FFFFFFFF"/>
        <rFont val="Yu Gothic"/>
        <family val="0"/>
        <charset val="1"/>
      </rPr>
      <t xml:space="preserve">TV+</t>
    </r>
    <r>
      <rPr>
        <b val="true"/>
        <sz val="9"/>
        <color rgb="FFFFFFFF"/>
        <rFont val="WenQuanYi Zen Hei"/>
        <family val="2"/>
      </rPr>
      <t xml:space="preserve">ネット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Yu Gothic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</si>
  <si>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固定資産税等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年</t>
    </r>
    <r>
      <rPr>
        <b val="true"/>
        <sz val="9"/>
        <color rgb="FFFFFFFF"/>
        <rFont val="Yu Gothic"/>
        <family val="0"/>
        <charset val="1"/>
      </rPr>
      <t xml:space="preserve">)</t>
    </r>
  </si>
  <si>
    <t xml:space="preserve">年間住居費合計</t>
  </si>
  <si>
    <t xml:space="preserve">月平均住居費</t>
  </si>
  <si>
    <r>
      <rPr>
        <b val="true"/>
        <sz val="9"/>
        <color rgb="FFFFFFFF"/>
        <rFont val="WenQuanYi Zen Hei"/>
        <family val="2"/>
      </rPr>
      <t xml:space="preserve">返済負担率</t>
    </r>
    <r>
      <rPr>
        <b val="true"/>
        <sz val="9"/>
        <color rgb="FFFFFFFF"/>
        <rFont val="Yu Gothic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額面</t>
    </r>
    <r>
      <rPr>
        <b val="true"/>
        <sz val="9"/>
        <color rgb="FFFFFFFF"/>
        <rFont val="Yu Gothic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</si>
  <si>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住居費</t>
    </r>
    <r>
      <rPr>
        <b val="true"/>
        <sz val="9"/>
        <color rgb="FFFFFFFF"/>
        <rFont val="Yu Gothic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手取り</t>
    </r>
  </si>
  <si>
    <t xml:space="preserve">累計住居費</t>
  </si>
  <si>
    <r>
      <rPr>
        <b val="true"/>
        <sz val="10"/>
        <rFont val="Yu Gothic"/>
        <family val="0"/>
        <charset val="1"/>
      </rPr>
      <t xml:space="preserve">35</t>
    </r>
    <r>
      <rPr>
        <b val="true"/>
        <sz val="10"/>
        <rFont val="WenQuanYi Zen Hei"/>
        <family val="2"/>
      </rPr>
      <t xml:space="preserve">年合計</t>
    </r>
  </si>
  <si>
    <r>
      <rPr>
        <sz val="8"/>
        <color rgb="FF666666"/>
        <rFont val="WenQuanYi Zen Hei"/>
        <family val="2"/>
      </rPr>
      <t xml:space="preserve">※年収列（</t>
    </r>
    <r>
      <rPr>
        <sz val="8"/>
        <color rgb="FF666666"/>
        <rFont val="Yu Gothic"/>
        <family val="0"/>
        <charset val="1"/>
      </rPr>
      <t xml:space="preserve">C</t>
    </r>
    <r>
      <rPr>
        <sz val="8"/>
        <color rgb="FF666666"/>
        <rFont val="WenQuanYi Zen Hei"/>
        <family val="2"/>
      </rPr>
      <t xml:space="preserve">列）は数式ですが、特定の年だけ手入力で上書き可能（産休・転職等のシナリオ）。控除は年末残高</t>
    </r>
    <r>
      <rPr>
        <sz val="8"/>
        <color rgb="FF666666"/>
        <rFont val="Yu Gothic"/>
        <family val="0"/>
        <charset val="1"/>
      </rPr>
      <t xml:space="preserve">×0.7%</t>
    </r>
    <r>
      <rPr>
        <sz val="8"/>
        <color rgb="FF666666"/>
        <rFont val="WenQuanYi Zen Hei"/>
        <family val="2"/>
      </rPr>
      <t xml:space="preserve">と納税額概算の小さい方。</t>
    </r>
  </si>
  <si>
    <t xml:space="preserve">シミュレーション結果サマリー（自動計算）</t>
  </si>
  <si>
    <r>
      <rPr>
        <b val="true"/>
        <sz val="11"/>
        <color rgb="FFFFFFFF"/>
        <rFont val="Yu Gothic"/>
        <family val="0"/>
        <charset val="1"/>
      </rPr>
      <t xml:space="preserve">A. </t>
    </r>
    <r>
      <rPr>
        <b val="true"/>
        <sz val="11"/>
        <color rgb="FFFFFFFF"/>
        <rFont val="WenQuanYi Zen Hei"/>
        <family val="2"/>
      </rPr>
      <t xml:space="preserve">初期費用</t>
    </r>
  </si>
  <si>
    <t xml:space="preserve">うち諸費用（頭金除く）</t>
  </si>
  <si>
    <r>
      <rPr>
        <b val="true"/>
        <sz val="11"/>
        <color rgb="FFFFFFFF"/>
        <rFont val="Yu Gothic"/>
        <family val="0"/>
        <charset val="1"/>
      </rPr>
      <t xml:space="preserve">B. </t>
    </r>
    <r>
      <rPr>
        <b val="true"/>
        <sz val="11"/>
        <color rgb="FFFFFFFF"/>
        <rFont val="WenQuanYi Zen Hei"/>
        <family val="2"/>
      </rPr>
      <t xml:space="preserve">毎月の支払い（初年度）</t>
    </r>
  </si>
  <si>
    <t xml:space="preserve">ローン月返済額（当初金利）</t>
  </si>
  <si>
    <r>
      <rPr>
        <sz val="10"/>
        <color rgb="FF000000"/>
        <rFont val="WenQuanYi Zen Hei"/>
        <family val="2"/>
      </rPr>
      <t xml:space="preserve">管理費＋修繕積立金＋</t>
    </r>
    <r>
      <rPr>
        <sz val="10"/>
        <color rgb="FF000000"/>
        <rFont val="Yu Gothic"/>
        <family val="0"/>
        <charset val="1"/>
      </rPr>
      <t xml:space="preserve">TV</t>
    </r>
    <r>
      <rPr>
        <sz val="10"/>
        <color rgb="FF000000"/>
        <rFont val="WenQuanYi Zen Hei"/>
        <family val="2"/>
      </rPr>
      <t xml:space="preserve">＋ネット（月）</t>
    </r>
  </si>
  <si>
    <t xml:space="preserve">固定資産税等（月割）</t>
  </si>
  <si>
    <t xml:space="preserve">毎月の住居費トータル（初年度）</t>
  </si>
  <si>
    <r>
      <rPr>
        <b val="true"/>
        <sz val="11"/>
        <color rgb="FFFFFFFF"/>
        <rFont val="Yu Gothic"/>
        <family val="0"/>
        <charset val="1"/>
      </rPr>
      <t xml:space="preserve">C. 35</t>
    </r>
    <r>
      <rPr>
        <b val="true"/>
        <sz val="11"/>
        <color rgb="FFFFFFFF"/>
        <rFont val="WenQuanYi Zen Hei"/>
        <family val="2"/>
      </rPr>
      <t xml:space="preserve">年トータル</t>
    </r>
  </si>
  <si>
    <t xml:space="preserve">総返済額（金利シナリオ反映）</t>
  </si>
  <si>
    <t xml:space="preserve">うち総利息</t>
  </si>
  <si>
    <t xml:space="preserve">住宅ローン控除 合計（概算）</t>
  </si>
  <si>
    <r>
      <rPr>
        <sz val="10"/>
        <color rgb="FF000000"/>
        <rFont val="WenQuanYi Zen Hei"/>
        <family val="2"/>
      </rPr>
      <t xml:space="preserve">管理費・修繕積立金・</t>
    </r>
    <r>
      <rPr>
        <sz val="10"/>
        <color rgb="FF000000"/>
        <rFont val="Yu Gothic"/>
        <family val="0"/>
        <charset val="1"/>
      </rPr>
      <t xml:space="preserve">TV</t>
    </r>
    <r>
      <rPr>
        <sz val="10"/>
        <color rgb="FF000000"/>
        <rFont val="WenQuanYi Zen Hei"/>
        <family val="2"/>
      </rPr>
      <t xml:space="preserve">・ネット 合計</t>
    </r>
  </si>
  <si>
    <t xml:space="preserve">固定資産税等 合計</t>
  </si>
  <si>
    <r>
      <rPr>
        <b val="true"/>
        <sz val="10"/>
        <rFont val="Yu Gothic"/>
        <family val="0"/>
        <charset val="1"/>
      </rPr>
      <t xml:space="preserve">35</t>
    </r>
    <r>
      <rPr>
        <b val="true"/>
        <sz val="10"/>
        <rFont val="WenQuanYi Zen Hei"/>
        <family val="2"/>
      </rPr>
      <t xml:space="preserve">年 住居費合計（控除差引後）</t>
    </r>
  </si>
  <si>
    <r>
      <rPr>
        <b val="true"/>
        <sz val="10"/>
        <rFont val="WenQuanYi Zen Hei"/>
        <family val="2"/>
      </rPr>
      <t xml:space="preserve">生涯総コスト（初期費用＋</t>
    </r>
    <r>
      <rPr>
        <b val="true"/>
        <sz val="10"/>
        <rFont val="Yu Gothic"/>
        <family val="0"/>
        <charset val="1"/>
      </rPr>
      <t xml:space="preserve">35</t>
    </r>
    <r>
      <rPr>
        <b val="true"/>
        <sz val="10"/>
        <rFont val="WenQuanYi Zen Hei"/>
        <family val="2"/>
      </rPr>
      <t xml:space="preserve">年住居費）</t>
    </r>
  </si>
  <si>
    <r>
      <rPr>
        <b val="true"/>
        <sz val="11"/>
        <color rgb="FFFFFFFF"/>
        <rFont val="Yu Gothic"/>
        <family val="0"/>
        <charset val="1"/>
      </rPr>
      <t xml:space="preserve">D. </t>
    </r>
    <r>
      <rPr>
        <b val="true"/>
        <sz val="11"/>
        <color rgb="FFFFFFFF"/>
        <rFont val="WenQuanYi Zen Hei"/>
        <family val="2"/>
      </rPr>
      <t xml:space="preserve">家計指標（初年度）</t>
    </r>
  </si>
  <si>
    <r>
      <rPr>
        <sz val="10"/>
        <color rgb="FF000000"/>
        <rFont val="WenQuanYi Zen Hei"/>
        <family val="2"/>
      </rPr>
      <t xml:space="preserve">返済負担率（年間返済</t>
    </r>
    <r>
      <rPr>
        <sz val="10"/>
        <color rgb="FF000000"/>
        <rFont val="Yu Gothic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額面年収）</t>
    </r>
  </si>
  <si>
    <r>
      <rPr>
        <b val="true"/>
        <sz val="10"/>
        <rFont val="WenQuanYi Zen Hei"/>
        <family val="2"/>
      </rPr>
      <t xml:space="preserve">住居費負担率（年間住居費</t>
    </r>
    <r>
      <rPr>
        <b val="true"/>
        <sz val="10"/>
        <rFont val="Yu Gothic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手取り）</t>
    </r>
  </si>
  <si>
    <r>
      <rPr>
        <b val="true"/>
        <sz val="11"/>
        <color rgb="FFFFFFFF"/>
        <rFont val="Yu Gothic"/>
        <family val="0"/>
        <charset val="1"/>
      </rPr>
      <t xml:space="preserve">E. </t>
    </r>
    <r>
      <rPr>
        <b val="true"/>
        <sz val="11"/>
        <color rgb="FFFFFFFF"/>
        <rFont val="WenQuanYi Zen Hei"/>
        <family val="2"/>
      </rPr>
      <t xml:space="preserve">金利感応度（</t>
    </r>
    <r>
      <rPr>
        <b val="true"/>
        <sz val="11"/>
        <color rgb="FFFFFFFF"/>
        <rFont val="Yu Gothic"/>
        <family val="0"/>
        <charset val="1"/>
      </rPr>
      <t xml:space="preserve">35</t>
    </r>
    <r>
      <rPr>
        <b val="true"/>
        <sz val="11"/>
        <color rgb="FFFFFFFF"/>
        <rFont val="WenQuanYi Zen Hei"/>
        <family val="2"/>
      </rPr>
      <t xml:space="preserve">年固定で借りた場合の比較）</t>
    </r>
  </si>
  <si>
    <t xml:space="preserve">金利</t>
  </si>
  <si>
    <t xml:space="preserve">総返済額</t>
  </si>
  <si>
    <r>
      <rPr>
        <sz val="8"/>
        <color rgb="FF666666"/>
        <rFont val="WenQuanYi Zen Hei"/>
        <family val="2"/>
      </rPr>
      <t xml:space="preserve">※作成日</t>
    </r>
    <r>
      <rPr>
        <sz val="8"/>
        <color rgb="FF666666"/>
        <rFont val="Yu Gothic"/>
        <family val="0"/>
        <charset val="1"/>
      </rPr>
      <t xml:space="preserve">2026-08-23</t>
    </r>
    <r>
      <rPr>
        <sz val="8"/>
        <color rgb="FF666666"/>
        <rFont val="WenQuanYi Zen Hei"/>
        <family val="2"/>
      </rPr>
      <t xml:space="preserve">。金利・税制は同日時点の公開情報に基づく。税・控除は簡易計算のため最終判断は専門家に確認。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</si>
</sst>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¥#,##0"/>
    <numFmt numFmtId="166" formatCode="0"/>
    <numFmt numFmtId="167" formatCode="0.00%"/>
    <numFmt numFmtId="168" formatCode="0.0%"/>
    <numFmt numFmtId="169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057"/>
      <name val="WenQuanYi Zen Hei"/>
      <family val="2"/>
    </font>
    <font>
      <b val="true"/>
      <sz val="14"/>
      <color rgb="FF0F3057"/>
      <name val="Yu Gothic"/>
      <family val="0"/>
      <charset val="1"/>
    </font>
    <font>
      <sz val="9"/>
      <color rgb="FFB23A48"/>
      <name val="WenQuanYi Zen Hei"/>
      <family val="2"/>
    </font>
    <font>
      <b val="true"/>
      <sz val="11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00FF"/>
      <name val="Yu Gothic"/>
      <family val="0"/>
      <charset val="1"/>
    </font>
    <font>
      <sz val="8"/>
      <color rgb="FF666666"/>
      <name val="WenQuanYi Zen Hei"/>
      <family val="2"/>
    </font>
    <font>
      <sz val="8"/>
      <color rgb="FF666666"/>
      <name val="Yu Gothic"/>
      <family val="0"/>
      <charset val="1"/>
    </font>
    <font>
      <sz val="10"/>
      <color rgb="FF000000"/>
      <name val="Yu Gothic"/>
      <family val="0"/>
      <charset val="1"/>
    </font>
    <font>
      <b val="true"/>
      <sz val="11"/>
      <color rgb="FFFFFFFF"/>
      <name val="Yu Gothic"/>
      <family val="0"/>
      <charset val="1"/>
    </font>
    <font>
      <b val="true"/>
      <sz val="10"/>
      <name val="WenQuanYi Zen Hei"/>
      <family val="2"/>
    </font>
    <font>
      <b val="true"/>
      <sz val="10"/>
      <name val="Yu Gothic"/>
      <family val="0"/>
      <charset val="1"/>
    </font>
    <font>
      <sz val="8"/>
      <color rgb="FFB23A48"/>
      <name val="WenQuanYi Zen Hei"/>
      <family val="2"/>
    </font>
    <font>
      <sz val="8"/>
      <color rgb="FFB23A48"/>
      <name val="Yu Gothic"/>
      <family val="0"/>
      <charset val="1"/>
    </font>
    <font>
      <b val="true"/>
      <sz val="9"/>
      <color rgb="FFFFFFFF"/>
      <name val="WenQuanYi Zen Hei"/>
      <family val="2"/>
    </font>
    <font>
      <b val="true"/>
      <sz val="9"/>
      <color rgb="FFFFFFFF"/>
      <name val="Yu Gothic"/>
      <family val="0"/>
      <charset val="1"/>
    </font>
    <font>
      <b val="true"/>
      <sz val="10"/>
      <color rgb="FF008000"/>
      <name val="Yu Gothic"/>
      <family val="0"/>
      <charset val="1"/>
    </font>
    <font>
      <sz val="10"/>
      <color rgb="FF008000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3057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4D0"/>
      </left>
      <right style="thin">
        <color rgb="FFB9C4D0"/>
      </right>
      <top style="thin">
        <color rgb="FFB9C4D0"/>
      </top>
      <bottom style="thin">
        <color rgb="FFB9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0"/>
      <rgbColor rgb="FF808080"/>
      <rgbColor rgb="FF9999FF"/>
      <rgbColor rgb="FFB23A48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30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  <c r="D3" s="4"/>
    </row>
    <row r="4" customFormat="false" ht="15" hidden="false" customHeight="false" outlineLevel="0" collapsed="false">
      <c r="A4" s="5" t="s">
        <v>3</v>
      </c>
      <c r="B4" s="6" t="n">
        <v>76000000</v>
      </c>
      <c r="D4" s="7" t="s">
        <v>4</v>
      </c>
    </row>
    <row r="5" customFormat="false" ht="15" hidden="false" customHeight="false" outlineLevel="0" collapsed="false">
      <c r="A5" s="5" t="s">
        <v>5</v>
      </c>
      <c r="B5" s="6" t="n">
        <v>0</v>
      </c>
      <c r="D5" s="8" t="s">
        <v>6</v>
      </c>
    </row>
    <row r="6" customFormat="false" ht="15" hidden="false" customHeight="false" outlineLevel="0" collapsed="false">
      <c r="A6" s="5" t="s">
        <v>7</v>
      </c>
      <c r="B6" s="9" t="n">
        <f aca="false">B4-B5</f>
        <v>76000000</v>
      </c>
      <c r="D6" s="7" t="s">
        <v>8</v>
      </c>
    </row>
    <row r="7" customFormat="false" ht="15" hidden="false" customHeight="false" outlineLevel="0" collapsed="false">
      <c r="A7" s="5" t="s">
        <v>9</v>
      </c>
      <c r="B7" s="10" t="n">
        <v>35</v>
      </c>
      <c r="D7" s="7" t="s">
        <v>10</v>
      </c>
    </row>
    <row r="8" customFormat="false" ht="15" hidden="false" customHeight="false" outlineLevel="0" collapsed="false">
      <c r="A8" s="5" t="s">
        <v>11</v>
      </c>
      <c r="B8" s="10" t="n">
        <v>2026</v>
      </c>
      <c r="D8" s="7" t="s">
        <v>12</v>
      </c>
    </row>
    <row r="10" customFormat="false" ht="15" hidden="false" customHeight="false" outlineLevel="0" collapsed="false">
      <c r="A10" s="3" t="s">
        <v>13</v>
      </c>
      <c r="B10" s="4"/>
      <c r="C10" s="4"/>
      <c r="D10" s="4"/>
    </row>
    <row r="11" customFormat="false" ht="15" hidden="false" customHeight="false" outlineLevel="0" collapsed="false">
      <c r="A11" s="5" t="s">
        <v>14</v>
      </c>
      <c r="B11" s="11" t="n">
        <v>0.01</v>
      </c>
      <c r="D11" s="8" t="s">
        <v>15</v>
      </c>
    </row>
    <row r="12" customFormat="false" ht="15" hidden="false" customHeight="false" outlineLevel="0" collapsed="false">
      <c r="A12" s="5" t="s">
        <v>16</v>
      </c>
      <c r="B12" s="10" t="n">
        <v>6</v>
      </c>
      <c r="D12" s="7" t="s">
        <v>17</v>
      </c>
    </row>
    <row r="13" customFormat="false" ht="15" hidden="false" customHeight="false" outlineLevel="0" collapsed="false">
      <c r="A13" s="5" t="s">
        <v>18</v>
      </c>
      <c r="B13" s="11" t="n">
        <v>0.015</v>
      </c>
    </row>
    <row r="14" customFormat="false" ht="15" hidden="false" customHeight="false" outlineLevel="0" collapsed="false">
      <c r="A14" s="5" t="s">
        <v>19</v>
      </c>
      <c r="B14" s="10" t="n">
        <v>11</v>
      </c>
    </row>
    <row r="15" customFormat="false" ht="15" hidden="false" customHeight="false" outlineLevel="0" collapsed="false">
      <c r="A15" s="5" t="s">
        <v>20</v>
      </c>
      <c r="B15" s="11" t="n">
        <v>0.02</v>
      </c>
      <c r="D15" s="7" t="s">
        <v>21</v>
      </c>
    </row>
    <row r="17" customFormat="false" ht="15" hidden="false" customHeight="false" outlineLevel="0" collapsed="false">
      <c r="A17" s="3" t="s">
        <v>22</v>
      </c>
      <c r="B17" s="4"/>
      <c r="C17" s="4"/>
      <c r="D17" s="4"/>
    </row>
    <row r="18" customFormat="false" ht="15" hidden="false" customHeight="false" outlineLevel="0" collapsed="false">
      <c r="A18" s="5" t="s">
        <v>23</v>
      </c>
      <c r="B18" s="12" t="n">
        <v>28500</v>
      </c>
      <c r="D18" s="7" t="s">
        <v>24</v>
      </c>
    </row>
    <row r="19" customFormat="false" ht="15" hidden="false" customHeight="false" outlineLevel="0" collapsed="false">
      <c r="A19" s="5" t="s">
        <v>25</v>
      </c>
      <c r="B19" s="13" t="n">
        <v>0</v>
      </c>
      <c r="D19" s="7" t="s">
        <v>26</v>
      </c>
    </row>
    <row r="20" customFormat="false" ht="15" hidden="false" customHeight="false" outlineLevel="0" collapsed="false">
      <c r="A20" s="5" t="s">
        <v>27</v>
      </c>
      <c r="B20" s="12" t="n">
        <v>16600</v>
      </c>
      <c r="D20" s="7" t="s">
        <v>28</v>
      </c>
    </row>
    <row r="21" customFormat="false" ht="15" hidden="false" customHeight="false" outlineLevel="0" collapsed="false">
      <c r="A21" s="5" t="s">
        <v>29</v>
      </c>
      <c r="B21" s="10" t="n">
        <v>6</v>
      </c>
      <c r="C21" s="12" t="n">
        <v>24900</v>
      </c>
      <c r="D21" s="7" t="s">
        <v>30</v>
      </c>
    </row>
    <row r="22" customFormat="false" ht="15" hidden="false" customHeight="false" outlineLevel="0" collapsed="false">
      <c r="A22" s="5" t="s">
        <v>31</v>
      </c>
      <c r="B22" s="10" t="n">
        <v>11</v>
      </c>
      <c r="C22" s="12" t="n">
        <v>33200</v>
      </c>
      <c r="D22" s="7" t="s">
        <v>32</v>
      </c>
    </row>
    <row r="23" customFormat="false" ht="15" hidden="false" customHeight="false" outlineLevel="0" collapsed="false">
      <c r="A23" s="5" t="s">
        <v>33</v>
      </c>
      <c r="B23" s="10" t="n">
        <v>16</v>
      </c>
      <c r="C23" s="12" t="n">
        <v>37400</v>
      </c>
      <c r="D23" s="7" t="s">
        <v>34</v>
      </c>
    </row>
    <row r="24" customFormat="false" ht="15" hidden="false" customHeight="false" outlineLevel="0" collapsed="false">
      <c r="A24" s="5" t="s">
        <v>35</v>
      </c>
      <c r="B24" s="12" t="n">
        <v>330</v>
      </c>
      <c r="D24" s="7" t="s">
        <v>36</v>
      </c>
    </row>
    <row r="25" customFormat="false" ht="15" hidden="false" customHeight="false" outlineLevel="0" collapsed="false">
      <c r="A25" s="5" t="s">
        <v>37</v>
      </c>
      <c r="B25" s="12" t="n">
        <v>1100</v>
      </c>
      <c r="D25" s="7" t="s">
        <v>38</v>
      </c>
    </row>
    <row r="27" customFormat="false" ht="15" hidden="false" customHeight="false" outlineLevel="0" collapsed="false">
      <c r="A27" s="3" t="s">
        <v>39</v>
      </c>
      <c r="B27" s="4"/>
      <c r="C27" s="4"/>
      <c r="D27" s="4"/>
    </row>
    <row r="28" customFormat="false" ht="15" hidden="false" customHeight="false" outlineLevel="0" collapsed="false">
      <c r="A28" s="5" t="s">
        <v>40</v>
      </c>
      <c r="B28" s="12" t="n">
        <v>220000</v>
      </c>
      <c r="D28" s="7" t="s">
        <v>41</v>
      </c>
    </row>
    <row r="29" customFormat="false" ht="15" hidden="false" customHeight="false" outlineLevel="0" collapsed="false">
      <c r="A29" s="5" t="s">
        <v>42</v>
      </c>
      <c r="B29" s="12" t="n">
        <v>300000</v>
      </c>
      <c r="D29" s="7" t="s">
        <v>43</v>
      </c>
    </row>
    <row r="30" customFormat="false" ht="15" hidden="false" customHeight="false" outlineLevel="0" collapsed="false">
      <c r="A30" s="5" t="s">
        <v>44</v>
      </c>
      <c r="B30" s="10" t="n">
        <v>5</v>
      </c>
      <c r="D30" s="7" t="s">
        <v>45</v>
      </c>
    </row>
    <row r="32" customFormat="false" ht="15" hidden="false" customHeight="false" outlineLevel="0" collapsed="false">
      <c r="A32" s="3" t="s">
        <v>46</v>
      </c>
      <c r="B32" s="4"/>
      <c r="C32" s="4"/>
      <c r="D32" s="4"/>
    </row>
    <row r="33" customFormat="false" ht="15" hidden="false" customHeight="false" outlineLevel="0" collapsed="false">
      <c r="A33" s="5" t="s">
        <v>47</v>
      </c>
      <c r="B33" s="13" t="n">
        <v>0.007</v>
      </c>
      <c r="D33" s="8" t="s">
        <v>48</v>
      </c>
    </row>
    <row r="34" customFormat="false" ht="15" hidden="false" customHeight="false" outlineLevel="0" collapsed="false">
      <c r="A34" s="5" t="s">
        <v>49</v>
      </c>
      <c r="B34" s="10" t="n">
        <v>13</v>
      </c>
      <c r="D34" s="7" t="s">
        <v>50</v>
      </c>
    </row>
    <row r="35" customFormat="false" ht="15" hidden="false" customHeight="false" outlineLevel="0" collapsed="false">
      <c r="A35" s="5" t="s">
        <v>51</v>
      </c>
      <c r="B35" s="6" t="n">
        <v>35000000</v>
      </c>
      <c r="D35" s="8" t="s">
        <v>52</v>
      </c>
    </row>
    <row r="37" customFormat="false" ht="15" hidden="false" customHeight="false" outlineLevel="0" collapsed="false">
      <c r="A37" s="3" t="s">
        <v>53</v>
      </c>
      <c r="B37" s="4"/>
      <c r="C37" s="4"/>
      <c r="D37" s="4"/>
    </row>
    <row r="38" customFormat="false" ht="15" hidden="false" customHeight="false" outlineLevel="0" collapsed="false">
      <c r="A38" s="5" t="s">
        <v>54</v>
      </c>
      <c r="B38" s="6" t="n">
        <v>11000000</v>
      </c>
      <c r="D38" s="7" t="s">
        <v>55</v>
      </c>
    </row>
    <row r="39" customFormat="false" ht="15" hidden="false" customHeight="false" outlineLevel="0" collapsed="false">
      <c r="A39" s="5" t="s">
        <v>56</v>
      </c>
      <c r="B39" s="14" t="n">
        <v>0.01</v>
      </c>
      <c r="D39" s="7" t="s">
        <v>57</v>
      </c>
    </row>
    <row r="40" customFormat="false" ht="15" hidden="false" customHeight="false" outlineLevel="0" collapsed="false">
      <c r="A40" s="5" t="s">
        <v>58</v>
      </c>
      <c r="B40" s="15" t="n">
        <v>0.75</v>
      </c>
      <c r="D40" s="7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16" t="s">
        <v>61</v>
      </c>
      <c r="B2" s="16" t="s">
        <v>62</v>
      </c>
      <c r="C2" s="16" t="s">
        <v>63</v>
      </c>
      <c r="D2" s="16" t="s">
        <v>64</v>
      </c>
    </row>
    <row r="3" customFormat="false" ht="15" hidden="false" customHeight="false" outlineLevel="0" collapsed="false">
      <c r="A3" s="5" t="s">
        <v>65</v>
      </c>
      <c r="B3" s="9" t="n">
        <f aca="false">入力!B5</f>
        <v>0</v>
      </c>
      <c r="D3" s="7" t="s">
        <v>66</v>
      </c>
    </row>
    <row r="4" customFormat="false" ht="15" hidden="false" customHeight="false" outlineLevel="0" collapsed="false">
      <c r="A4" s="5" t="s">
        <v>67</v>
      </c>
      <c r="B4" s="12" t="n">
        <v>1988800</v>
      </c>
      <c r="D4" s="7" t="s">
        <v>68</v>
      </c>
    </row>
    <row r="5" customFormat="false" ht="15" hidden="false" customHeight="false" outlineLevel="0" collapsed="false">
      <c r="A5" s="5" t="s">
        <v>69</v>
      </c>
      <c r="B5" s="12" t="n">
        <v>28500</v>
      </c>
      <c r="D5" s="7" t="s">
        <v>36</v>
      </c>
    </row>
    <row r="6" customFormat="false" ht="15" hidden="false" customHeight="false" outlineLevel="0" collapsed="false">
      <c r="A6" s="5" t="s">
        <v>70</v>
      </c>
      <c r="B6" s="12" t="n">
        <v>450000</v>
      </c>
      <c r="D6" s="7" t="s">
        <v>71</v>
      </c>
    </row>
    <row r="7" customFormat="false" ht="15" hidden="false" customHeight="false" outlineLevel="0" collapsed="false">
      <c r="A7" s="5" t="s">
        <v>72</v>
      </c>
      <c r="B7" s="9" t="n">
        <f aca="false">入力!B6*C7</f>
        <v>1672000</v>
      </c>
      <c r="C7" s="17" t="n">
        <v>0.022</v>
      </c>
      <c r="D7" s="7" t="s">
        <v>73</v>
      </c>
    </row>
    <row r="8" customFormat="false" ht="15" hidden="false" customHeight="false" outlineLevel="0" collapsed="false">
      <c r="A8" s="5" t="s">
        <v>74</v>
      </c>
      <c r="B8" s="12" t="n">
        <v>20000</v>
      </c>
      <c r="D8" s="7" t="s">
        <v>75</v>
      </c>
    </row>
    <row r="9" customFormat="false" ht="15" hidden="false" customHeight="false" outlineLevel="0" collapsed="false">
      <c r="A9" s="5" t="s">
        <v>76</v>
      </c>
      <c r="B9" s="12" t="n">
        <v>200000</v>
      </c>
      <c r="D9" s="7" t="s">
        <v>77</v>
      </c>
    </row>
    <row r="10" customFormat="false" ht="15" hidden="false" customHeight="false" outlineLevel="0" collapsed="false">
      <c r="A10" s="5" t="s">
        <v>78</v>
      </c>
      <c r="B10" s="12" t="n">
        <v>100000</v>
      </c>
      <c r="D10" s="7" t="s">
        <v>79</v>
      </c>
    </row>
    <row r="11" customFormat="false" ht="15" hidden="false" customHeight="false" outlineLevel="0" collapsed="false">
      <c r="A11" s="5" t="s">
        <v>80</v>
      </c>
      <c r="B11" s="12" t="n">
        <v>0</v>
      </c>
      <c r="D11" s="7" t="s">
        <v>81</v>
      </c>
    </row>
    <row r="12" customFormat="false" ht="15" hidden="false" customHeight="false" outlineLevel="0" collapsed="false">
      <c r="A12" s="5" t="s">
        <v>82</v>
      </c>
      <c r="B12" s="12" t="n">
        <v>200000</v>
      </c>
      <c r="D12" s="7" t="s">
        <v>83</v>
      </c>
    </row>
    <row r="13" customFormat="false" ht="15" hidden="false" customHeight="false" outlineLevel="0" collapsed="false">
      <c r="A13" s="5" t="s">
        <v>84</v>
      </c>
      <c r="B13" s="12" t="n">
        <v>500000</v>
      </c>
      <c r="D13" s="7" t="s">
        <v>85</v>
      </c>
    </row>
    <row r="14" customFormat="false" ht="15" hidden="false" customHeight="false" outlineLevel="0" collapsed="false">
      <c r="A14" s="18" t="s">
        <v>86</v>
      </c>
      <c r="B14" s="19" t="n">
        <f aca="false">SUM(B4:B13)</f>
        <v>5159300</v>
      </c>
    </row>
    <row r="15" customFormat="false" ht="15" hidden="false" customHeight="false" outlineLevel="0" collapsed="false">
      <c r="A15" s="18" t="s">
        <v>87</v>
      </c>
      <c r="B15" s="20" t="n">
        <f aca="false">B3+B14</f>
        <v>5159300</v>
      </c>
      <c r="D15" s="2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3" t="s">
        <v>89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  <c r="G1" s="3" t="s">
        <v>95</v>
      </c>
      <c r="H1" s="3" t="s">
        <v>96</v>
      </c>
      <c r="J1" s="7" t="s">
        <v>97</v>
      </c>
    </row>
    <row r="2" customFormat="false" ht="15" hidden="false" customHeight="false" outlineLevel="0" collapsed="false">
      <c r="A2" s="22" t="n">
        <v>1</v>
      </c>
      <c r="B2" s="22" t="n">
        <f aca="false">INT((A2-1)/12)+1</f>
        <v>1</v>
      </c>
      <c r="C2" s="23" t="n">
        <f aca="false">IF(B2&gt;=入力!$B$14,入力!$B$15,IF(B2&gt;=入力!$B$12,入力!$B$13,入力!$B$11))</f>
        <v>0.01</v>
      </c>
      <c r="D2" s="24" t="n">
        <f aca="false">入力!$B$6</f>
        <v>76000000</v>
      </c>
      <c r="E2" s="24" t="n">
        <f aca="false">-PMT(C2/12,420-A2+1,D2)</f>
        <v>214537.131191881</v>
      </c>
      <c r="F2" s="24" t="n">
        <f aca="false">D2*C2/12</f>
        <v>63333.3333333333</v>
      </c>
      <c r="G2" s="24" t="n">
        <f aca="false">E2-F2</f>
        <v>151203.797858548</v>
      </c>
      <c r="H2" s="24" t="n">
        <f aca="false">D2-G2</f>
        <v>75848796.2021415</v>
      </c>
    </row>
    <row r="3" customFormat="false" ht="15" hidden="false" customHeight="false" outlineLevel="0" collapsed="false">
      <c r="A3" s="22" t="n">
        <v>2</v>
      </c>
      <c r="B3" s="22" t="n">
        <f aca="false">INT((A3-1)/12)+1</f>
        <v>1</v>
      </c>
      <c r="C3" s="23" t="n">
        <f aca="false">IF(B3&gt;=入力!$B$14,入力!$B$15,IF(B3&gt;=入力!$B$12,入力!$B$13,入力!$B$11))</f>
        <v>0.01</v>
      </c>
      <c r="D3" s="24" t="n">
        <f aca="false">H2</f>
        <v>75848796.2021415</v>
      </c>
      <c r="E3" s="24" t="n">
        <f aca="false">-PMT(C3/12,420-A3+1,D3)</f>
        <v>214537.131191881</v>
      </c>
      <c r="F3" s="24" t="n">
        <f aca="false">D3*C3/12</f>
        <v>63207.3301684512</v>
      </c>
      <c r="G3" s="24" t="n">
        <f aca="false">E3-F3</f>
        <v>151329.80102343</v>
      </c>
      <c r="H3" s="24" t="n">
        <f aca="false">D3-G3</f>
        <v>75697466.401118</v>
      </c>
    </row>
    <row r="4" customFormat="false" ht="15" hidden="false" customHeight="false" outlineLevel="0" collapsed="false">
      <c r="A4" s="22" t="n">
        <v>3</v>
      </c>
      <c r="B4" s="22" t="n">
        <f aca="false">INT((A4-1)/12)+1</f>
        <v>1</v>
      </c>
      <c r="C4" s="23" t="n">
        <f aca="false">IF(B4&gt;=入力!$B$14,入力!$B$15,IF(B4&gt;=入力!$B$12,入力!$B$13,入力!$B$11))</f>
        <v>0.01</v>
      </c>
      <c r="D4" s="24" t="n">
        <f aca="false">H3</f>
        <v>75697466.401118</v>
      </c>
      <c r="E4" s="24" t="n">
        <f aca="false">-PMT(C4/12,420-A4+1,D4)</f>
        <v>214537.131191881</v>
      </c>
      <c r="F4" s="24" t="n">
        <f aca="false">D4*C4/12</f>
        <v>63081.2220009317</v>
      </c>
      <c r="G4" s="24" t="n">
        <f aca="false">E4-F4</f>
        <v>151455.909190949</v>
      </c>
      <c r="H4" s="24" t="n">
        <f aca="false">D4-G4</f>
        <v>75546010.4919271</v>
      </c>
    </row>
    <row r="5" customFormat="false" ht="15" hidden="false" customHeight="false" outlineLevel="0" collapsed="false">
      <c r="A5" s="22" t="n">
        <v>4</v>
      </c>
      <c r="B5" s="22" t="n">
        <f aca="false">INT((A5-1)/12)+1</f>
        <v>1</v>
      </c>
      <c r="C5" s="23" t="n">
        <f aca="false">IF(B5&gt;=入力!$B$14,入力!$B$15,IF(B5&gt;=入力!$B$12,入力!$B$13,入力!$B$11))</f>
        <v>0.01</v>
      </c>
      <c r="D5" s="24" t="n">
        <f aca="false">H4</f>
        <v>75546010.4919271</v>
      </c>
      <c r="E5" s="24" t="n">
        <f aca="false">-PMT(C5/12,420-A5+1,D5)</f>
        <v>214537.131191881</v>
      </c>
      <c r="F5" s="24" t="n">
        <f aca="false">D5*C5/12</f>
        <v>62955.0087432726</v>
      </c>
      <c r="G5" s="24" t="n">
        <f aca="false">E5-F5</f>
        <v>151582.122448608</v>
      </c>
      <c r="H5" s="24" t="n">
        <f aca="false">D5-G5</f>
        <v>75394428.3694785</v>
      </c>
    </row>
    <row r="6" customFormat="false" ht="15" hidden="false" customHeight="false" outlineLevel="0" collapsed="false">
      <c r="A6" s="22" t="n">
        <v>5</v>
      </c>
      <c r="B6" s="22" t="n">
        <f aca="false">INT((A6-1)/12)+1</f>
        <v>1</v>
      </c>
      <c r="C6" s="23" t="n">
        <f aca="false">IF(B6&gt;=入力!$B$14,入力!$B$15,IF(B6&gt;=入力!$B$12,入力!$B$13,入力!$B$11))</f>
        <v>0.01</v>
      </c>
      <c r="D6" s="24" t="n">
        <f aca="false">H5</f>
        <v>75394428.3694785</v>
      </c>
      <c r="E6" s="24" t="n">
        <f aca="false">-PMT(C6/12,420-A6+1,D6)</f>
        <v>214537.131191881</v>
      </c>
      <c r="F6" s="24" t="n">
        <f aca="false">D6*C6/12</f>
        <v>62828.6903078987</v>
      </c>
      <c r="G6" s="24" t="n">
        <f aca="false">E6-F6</f>
        <v>151708.440883982</v>
      </c>
      <c r="H6" s="24" t="n">
        <f aca="false">D6-G6</f>
        <v>75242719.9285945</v>
      </c>
    </row>
    <row r="7" customFormat="false" ht="15" hidden="false" customHeight="false" outlineLevel="0" collapsed="false">
      <c r="A7" s="22" t="n">
        <v>6</v>
      </c>
      <c r="B7" s="22" t="n">
        <f aca="false">INT((A7-1)/12)+1</f>
        <v>1</v>
      </c>
      <c r="C7" s="23" t="n">
        <f aca="false">IF(B7&gt;=入力!$B$14,入力!$B$15,IF(B7&gt;=入力!$B$12,入力!$B$13,入力!$B$11))</f>
        <v>0.01</v>
      </c>
      <c r="D7" s="24" t="n">
        <f aca="false">H6</f>
        <v>75242719.9285945</v>
      </c>
      <c r="E7" s="24" t="n">
        <f aca="false">-PMT(C7/12,420-A7+1,D7)</f>
        <v>214537.131191881</v>
      </c>
      <c r="F7" s="24" t="n">
        <f aca="false">D7*C7/12</f>
        <v>62702.2666071621</v>
      </c>
      <c r="G7" s="24" t="n">
        <f aca="false">E7-F7</f>
        <v>151834.864584719</v>
      </c>
      <c r="H7" s="24" t="n">
        <f aca="false">D7-G7</f>
        <v>75090885.0640098</v>
      </c>
    </row>
    <row r="8" customFormat="false" ht="15" hidden="false" customHeight="false" outlineLevel="0" collapsed="false">
      <c r="A8" s="22" t="n">
        <v>7</v>
      </c>
      <c r="B8" s="22" t="n">
        <f aca="false">INT((A8-1)/12)+1</f>
        <v>1</v>
      </c>
      <c r="C8" s="23" t="n">
        <f aca="false">IF(B8&gt;=入力!$B$14,入力!$B$15,IF(B8&gt;=入力!$B$12,入力!$B$13,入力!$B$11))</f>
        <v>0.01</v>
      </c>
      <c r="D8" s="24" t="n">
        <f aca="false">H7</f>
        <v>75090885.0640098</v>
      </c>
      <c r="E8" s="24" t="n">
        <f aca="false">-PMT(C8/12,420-A8+1,D8)</f>
        <v>214537.131191881</v>
      </c>
      <c r="F8" s="24" t="n">
        <f aca="false">D8*C8/12</f>
        <v>62575.7375533415</v>
      </c>
      <c r="G8" s="24" t="n">
        <f aca="false">E8-F8</f>
        <v>151961.39363854</v>
      </c>
      <c r="H8" s="24" t="n">
        <f aca="false">D8-G8</f>
        <v>74938923.6703712</v>
      </c>
    </row>
    <row r="9" customFormat="false" ht="15" hidden="false" customHeight="false" outlineLevel="0" collapsed="false">
      <c r="A9" s="22" t="n">
        <v>8</v>
      </c>
      <c r="B9" s="22" t="n">
        <f aca="false">INT((A9-1)/12)+1</f>
        <v>1</v>
      </c>
      <c r="C9" s="23" t="n">
        <f aca="false">IF(B9&gt;=入力!$B$14,入力!$B$15,IF(B9&gt;=入力!$B$12,入力!$B$13,入力!$B$11))</f>
        <v>0.01</v>
      </c>
      <c r="D9" s="24" t="n">
        <f aca="false">H8</f>
        <v>74938923.6703712</v>
      </c>
      <c r="E9" s="24" t="n">
        <f aca="false">-PMT(C9/12,420-A9+1,D9)</f>
        <v>214537.131191881</v>
      </c>
      <c r="F9" s="24" t="n">
        <f aca="false">D9*C9/12</f>
        <v>62449.1030586427</v>
      </c>
      <c r="G9" s="24" t="n">
        <f aca="false">E9-F9</f>
        <v>152088.028133238</v>
      </c>
      <c r="H9" s="24" t="n">
        <f aca="false">D9-G9</f>
        <v>74786835.642238</v>
      </c>
    </row>
    <row r="10" customFormat="false" ht="15" hidden="false" customHeight="false" outlineLevel="0" collapsed="false">
      <c r="A10" s="22" t="n">
        <v>9</v>
      </c>
      <c r="B10" s="22" t="n">
        <f aca="false">INT((A10-1)/12)+1</f>
        <v>1</v>
      </c>
      <c r="C10" s="23" t="n">
        <f aca="false">IF(B10&gt;=入力!$B$14,入力!$B$15,IF(B10&gt;=入力!$B$12,入力!$B$13,入力!$B$11))</f>
        <v>0.01</v>
      </c>
      <c r="D10" s="24" t="n">
        <f aca="false">H9</f>
        <v>74786835.642238</v>
      </c>
      <c r="E10" s="24" t="n">
        <f aca="false">-PMT(C10/12,420-A10+1,D10)</f>
        <v>214537.131191881</v>
      </c>
      <c r="F10" s="24" t="n">
        <f aca="false">D10*C10/12</f>
        <v>62322.3630351983</v>
      </c>
      <c r="G10" s="24" t="n">
        <f aca="false">E10-F10</f>
        <v>152214.768156683</v>
      </c>
      <c r="H10" s="24" t="n">
        <f aca="false">D10-G10</f>
        <v>74634620.8740813</v>
      </c>
    </row>
    <row r="11" customFormat="false" ht="15" hidden="false" customHeight="false" outlineLevel="0" collapsed="false">
      <c r="A11" s="22" t="n">
        <v>10</v>
      </c>
      <c r="B11" s="22" t="n">
        <f aca="false">INT((A11-1)/12)+1</f>
        <v>1</v>
      </c>
      <c r="C11" s="23" t="n">
        <f aca="false">IF(B11&gt;=入力!$B$14,入力!$B$15,IF(B11&gt;=入力!$B$12,入力!$B$13,入力!$B$11))</f>
        <v>0.01</v>
      </c>
      <c r="D11" s="24" t="n">
        <f aca="false">H10</f>
        <v>74634620.8740813</v>
      </c>
      <c r="E11" s="24" t="n">
        <f aca="false">-PMT(C11/12,420-A11+1,D11)</f>
        <v>214537.131191881</v>
      </c>
      <c r="F11" s="24" t="n">
        <f aca="false">D11*C11/12</f>
        <v>62195.5173950678</v>
      </c>
      <c r="G11" s="24" t="n">
        <f aca="false">E11-F11</f>
        <v>152341.613796813</v>
      </c>
      <c r="H11" s="24" t="n">
        <f aca="false">D11-G11</f>
        <v>74482279.2602845</v>
      </c>
    </row>
    <row r="12" customFormat="false" ht="15" hidden="false" customHeight="false" outlineLevel="0" collapsed="false">
      <c r="A12" s="22" t="n">
        <v>11</v>
      </c>
      <c r="B12" s="22" t="n">
        <f aca="false">INT((A12-1)/12)+1</f>
        <v>1</v>
      </c>
      <c r="C12" s="23" t="n">
        <f aca="false">IF(B12&gt;=入力!$B$14,入力!$B$15,IF(B12&gt;=入力!$B$12,入力!$B$13,入力!$B$11))</f>
        <v>0.01</v>
      </c>
      <c r="D12" s="24" t="n">
        <f aca="false">H11</f>
        <v>74482279.2602845</v>
      </c>
      <c r="E12" s="24" t="n">
        <f aca="false">-PMT(C12/12,420-A12+1,D12)</f>
        <v>214537.131191881</v>
      </c>
      <c r="F12" s="24" t="n">
        <f aca="false">D12*C12/12</f>
        <v>62068.5660502371</v>
      </c>
      <c r="G12" s="24" t="n">
        <f aca="false">E12-F12</f>
        <v>152468.565141644</v>
      </c>
      <c r="H12" s="24" t="n">
        <f aca="false">D12-G12</f>
        <v>74329810.6951429</v>
      </c>
    </row>
    <row r="13" customFormat="false" ht="15" hidden="false" customHeight="false" outlineLevel="0" collapsed="false">
      <c r="A13" s="22" t="n">
        <v>12</v>
      </c>
      <c r="B13" s="22" t="n">
        <f aca="false">INT((A13-1)/12)+1</f>
        <v>1</v>
      </c>
      <c r="C13" s="23" t="n">
        <f aca="false">IF(B13&gt;=入力!$B$14,入力!$B$15,IF(B13&gt;=入力!$B$12,入力!$B$13,入力!$B$11))</f>
        <v>0.01</v>
      </c>
      <c r="D13" s="24" t="n">
        <f aca="false">H12</f>
        <v>74329810.6951429</v>
      </c>
      <c r="E13" s="24" t="n">
        <f aca="false">-PMT(C13/12,420-A13+1,D13)</f>
        <v>214537.131191881</v>
      </c>
      <c r="F13" s="24" t="n">
        <f aca="false">D13*C13/12</f>
        <v>61941.508912619</v>
      </c>
      <c r="G13" s="24" t="n">
        <f aca="false">E13-F13</f>
        <v>152595.622279262</v>
      </c>
      <c r="H13" s="24" t="n">
        <f aca="false">D13-G13</f>
        <v>74177215.0728636</v>
      </c>
    </row>
    <row r="14" customFormat="false" ht="15" hidden="false" customHeight="false" outlineLevel="0" collapsed="false">
      <c r="A14" s="22" t="n">
        <v>13</v>
      </c>
      <c r="B14" s="22" t="n">
        <f aca="false">INT((A14-1)/12)+1</f>
        <v>2</v>
      </c>
      <c r="C14" s="23" t="n">
        <f aca="false">IF(B14&gt;=入力!$B$14,入力!$B$15,IF(B14&gt;=入力!$B$12,入力!$B$13,入力!$B$11))</f>
        <v>0.01</v>
      </c>
      <c r="D14" s="24" t="n">
        <f aca="false">H13</f>
        <v>74177215.0728636</v>
      </c>
      <c r="E14" s="24" t="n">
        <f aca="false">-PMT(C14/12,420-A14+1,D14)</f>
        <v>214537.131191881</v>
      </c>
      <c r="F14" s="24" t="n">
        <f aca="false">D14*C14/12</f>
        <v>61814.345894053</v>
      </c>
      <c r="G14" s="24" t="n">
        <f aca="false">E14-F14</f>
        <v>152722.785297828</v>
      </c>
      <c r="H14" s="24" t="n">
        <f aca="false">D14-G14</f>
        <v>74024492.2875658</v>
      </c>
    </row>
    <row r="15" customFormat="false" ht="15" hidden="false" customHeight="false" outlineLevel="0" collapsed="false">
      <c r="A15" s="22" t="n">
        <v>14</v>
      </c>
      <c r="B15" s="22" t="n">
        <f aca="false">INT((A15-1)/12)+1</f>
        <v>2</v>
      </c>
      <c r="C15" s="23" t="n">
        <f aca="false">IF(B15&gt;=入力!$B$14,入力!$B$15,IF(B15&gt;=入力!$B$12,入力!$B$13,入力!$B$11))</f>
        <v>0.01</v>
      </c>
      <c r="D15" s="24" t="n">
        <f aca="false">H14</f>
        <v>74024492.2875658</v>
      </c>
      <c r="E15" s="24" t="n">
        <f aca="false">-PMT(C15/12,420-A15+1,D15)</f>
        <v>214537.131191881</v>
      </c>
      <c r="F15" s="24" t="n">
        <f aca="false">D15*C15/12</f>
        <v>61687.0769063048</v>
      </c>
      <c r="G15" s="24" t="n">
        <f aca="false">E15-F15</f>
        <v>152850.054285576</v>
      </c>
      <c r="H15" s="24" t="n">
        <f aca="false">D15-G15</f>
        <v>73871642.2332802</v>
      </c>
    </row>
    <row r="16" customFormat="false" ht="15" hidden="false" customHeight="false" outlineLevel="0" collapsed="false">
      <c r="A16" s="22" t="n">
        <v>15</v>
      </c>
      <c r="B16" s="22" t="n">
        <f aca="false">INT((A16-1)/12)+1</f>
        <v>2</v>
      </c>
      <c r="C16" s="23" t="n">
        <f aca="false">IF(B16&gt;=入力!$B$14,入力!$B$15,IF(B16&gt;=入力!$B$12,入力!$B$13,入力!$B$11))</f>
        <v>0.01</v>
      </c>
      <c r="D16" s="24" t="n">
        <f aca="false">H15</f>
        <v>73871642.2332802</v>
      </c>
      <c r="E16" s="24" t="n">
        <f aca="false">-PMT(C16/12,420-A16+1,D16)</f>
        <v>214537.131191881</v>
      </c>
      <c r="F16" s="24" t="n">
        <f aca="false">D16*C16/12</f>
        <v>61559.7018610668</v>
      </c>
      <c r="G16" s="24" t="n">
        <f aca="false">E16-F16</f>
        <v>152977.429330814</v>
      </c>
      <c r="H16" s="24" t="n">
        <f aca="false">D16-G16</f>
        <v>73718664.8039494</v>
      </c>
    </row>
    <row r="17" customFormat="false" ht="15" hidden="false" customHeight="false" outlineLevel="0" collapsed="false">
      <c r="A17" s="22" t="n">
        <v>16</v>
      </c>
      <c r="B17" s="22" t="n">
        <f aca="false">INT((A17-1)/12)+1</f>
        <v>2</v>
      </c>
      <c r="C17" s="23" t="n">
        <f aca="false">IF(B17&gt;=入力!$B$14,入力!$B$15,IF(B17&gt;=入力!$B$12,入力!$B$13,入力!$B$11))</f>
        <v>0.01</v>
      </c>
      <c r="D17" s="24" t="n">
        <f aca="false">H16</f>
        <v>73718664.8039494</v>
      </c>
      <c r="E17" s="24" t="n">
        <f aca="false">-PMT(C17/12,420-A17+1,D17)</f>
        <v>214537.131191881</v>
      </c>
      <c r="F17" s="24" t="n">
        <f aca="false">D17*C17/12</f>
        <v>61432.2206699578</v>
      </c>
      <c r="G17" s="24" t="n">
        <f aca="false">E17-F17</f>
        <v>153104.910521923</v>
      </c>
      <c r="H17" s="24" t="n">
        <f aca="false">D17-G17</f>
        <v>73565559.8934275</v>
      </c>
    </row>
    <row r="18" customFormat="false" ht="15" hidden="false" customHeight="false" outlineLevel="0" collapsed="false">
      <c r="A18" s="22" t="n">
        <v>17</v>
      </c>
      <c r="B18" s="22" t="n">
        <f aca="false">INT((A18-1)/12)+1</f>
        <v>2</v>
      </c>
      <c r="C18" s="23" t="n">
        <f aca="false">IF(B18&gt;=入力!$B$14,入力!$B$15,IF(B18&gt;=入力!$B$12,入力!$B$13,入力!$B$11))</f>
        <v>0.01</v>
      </c>
      <c r="D18" s="24" t="n">
        <f aca="false">H17</f>
        <v>73565559.8934275</v>
      </c>
      <c r="E18" s="24" t="n">
        <f aca="false">-PMT(C18/12,420-A18+1,D18)</f>
        <v>214537.131191881</v>
      </c>
      <c r="F18" s="24" t="n">
        <f aca="false">D18*C18/12</f>
        <v>61304.6332445229</v>
      </c>
      <c r="G18" s="24" t="n">
        <f aca="false">E18-F18</f>
        <v>153232.497947358</v>
      </c>
      <c r="H18" s="24" t="n">
        <f aca="false">D18-G18</f>
        <v>73412327.3954801</v>
      </c>
    </row>
    <row r="19" customFormat="false" ht="15" hidden="false" customHeight="false" outlineLevel="0" collapsed="false">
      <c r="A19" s="22" t="n">
        <v>18</v>
      </c>
      <c r="B19" s="22" t="n">
        <f aca="false">INT((A19-1)/12)+1</f>
        <v>2</v>
      </c>
      <c r="C19" s="23" t="n">
        <f aca="false">IF(B19&gt;=入力!$B$14,入力!$B$15,IF(B19&gt;=入力!$B$12,入力!$B$13,入力!$B$11))</f>
        <v>0.01</v>
      </c>
      <c r="D19" s="24" t="n">
        <f aca="false">H18</f>
        <v>73412327.3954801</v>
      </c>
      <c r="E19" s="24" t="n">
        <f aca="false">-PMT(C19/12,420-A19+1,D19)</f>
        <v>214537.131191881</v>
      </c>
      <c r="F19" s="24" t="n">
        <f aca="false">D19*C19/12</f>
        <v>61176.9394962334</v>
      </c>
      <c r="G19" s="24" t="n">
        <f aca="false">E19-F19</f>
        <v>153360.191695648</v>
      </c>
      <c r="H19" s="24" t="n">
        <f aca="false">D19-G19</f>
        <v>73258967.2037845</v>
      </c>
    </row>
    <row r="20" customFormat="false" ht="15" hidden="false" customHeight="false" outlineLevel="0" collapsed="false">
      <c r="A20" s="22" t="n">
        <v>19</v>
      </c>
      <c r="B20" s="22" t="n">
        <f aca="false">INT((A20-1)/12)+1</f>
        <v>2</v>
      </c>
      <c r="C20" s="23" t="n">
        <f aca="false">IF(B20&gt;=入力!$B$14,入力!$B$15,IF(B20&gt;=入力!$B$12,入力!$B$13,入力!$B$11))</f>
        <v>0.01</v>
      </c>
      <c r="D20" s="24" t="n">
        <f aca="false">H19</f>
        <v>73258967.2037845</v>
      </c>
      <c r="E20" s="24" t="n">
        <f aca="false">-PMT(C20/12,420-A20+1,D20)</f>
        <v>214537.131191881</v>
      </c>
      <c r="F20" s="24" t="n">
        <f aca="false">D20*C20/12</f>
        <v>61049.139336487</v>
      </c>
      <c r="G20" s="24" t="n">
        <f aca="false">E20-F20</f>
        <v>153487.991855394</v>
      </c>
      <c r="H20" s="24" t="n">
        <f aca="false">D20-G20</f>
        <v>73105479.2119291</v>
      </c>
    </row>
    <row r="21" customFormat="false" ht="15" hidden="false" customHeight="false" outlineLevel="0" collapsed="false">
      <c r="A21" s="22" t="n">
        <v>20</v>
      </c>
      <c r="B21" s="22" t="n">
        <f aca="false">INT((A21-1)/12)+1</f>
        <v>2</v>
      </c>
      <c r="C21" s="23" t="n">
        <f aca="false">IF(B21&gt;=入力!$B$14,入力!$B$15,IF(B21&gt;=入力!$B$12,入力!$B$13,入力!$B$11))</f>
        <v>0.01</v>
      </c>
      <c r="D21" s="24" t="n">
        <f aca="false">H20</f>
        <v>73105479.2119291</v>
      </c>
      <c r="E21" s="24" t="n">
        <f aca="false">-PMT(C21/12,420-A21+1,D21)</f>
        <v>214537.131191881</v>
      </c>
      <c r="F21" s="24" t="n">
        <f aca="false">D21*C21/12</f>
        <v>60921.2326766076</v>
      </c>
      <c r="G21" s="24" t="n">
        <f aca="false">E21-F21</f>
        <v>153615.898515274</v>
      </c>
      <c r="H21" s="24" t="n">
        <f aca="false">D21-G21</f>
        <v>72951863.3134138</v>
      </c>
    </row>
    <row r="22" customFormat="false" ht="15" hidden="false" customHeight="false" outlineLevel="0" collapsed="false">
      <c r="A22" s="22" t="n">
        <v>21</v>
      </c>
      <c r="B22" s="22" t="n">
        <f aca="false">INT((A22-1)/12)+1</f>
        <v>2</v>
      </c>
      <c r="C22" s="23" t="n">
        <f aca="false">IF(B22&gt;=入力!$B$14,入力!$B$15,IF(B22&gt;=入力!$B$12,入力!$B$13,入力!$B$11))</f>
        <v>0.01</v>
      </c>
      <c r="D22" s="24" t="n">
        <f aca="false">H21</f>
        <v>72951863.3134138</v>
      </c>
      <c r="E22" s="24" t="n">
        <f aca="false">-PMT(C22/12,420-A22+1,D22)</f>
        <v>214537.131191881</v>
      </c>
      <c r="F22" s="24" t="n">
        <f aca="false">D22*C22/12</f>
        <v>60793.2194278448</v>
      </c>
      <c r="G22" s="24" t="n">
        <f aca="false">E22-F22</f>
        <v>153743.911764036</v>
      </c>
      <c r="H22" s="24" t="n">
        <f aca="false">D22-G22</f>
        <v>72798119.4016497</v>
      </c>
    </row>
    <row r="23" customFormat="false" ht="15" hidden="false" customHeight="false" outlineLevel="0" collapsed="false">
      <c r="A23" s="22" t="n">
        <v>22</v>
      </c>
      <c r="B23" s="22" t="n">
        <f aca="false">INT((A23-1)/12)+1</f>
        <v>2</v>
      </c>
      <c r="C23" s="23" t="n">
        <f aca="false">IF(B23&gt;=入力!$B$14,入力!$B$15,IF(B23&gt;=入力!$B$12,入力!$B$13,入力!$B$11))</f>
        <v>0.01</v>
      </c>
      <c r="D23" s="24" t="n">
        <f aca="false">H22</f>
        <v>72798119.4016497</v>
      </c>
      <c r="E23" s="24" t="n">
        <f aca="false">-PMT(C23/12,420-A23+1,D23)</f>
        <v>214537.131191881</v>
      </c>
      <c r="F23" s="24" t="n">
        <f aca="false">D23*C23/12</f>
        <v>60665.0995013748</v>
      </c>
      <c r="G23" s="24" t="n">
        <f aca="false">E23-F23</f>
        <v>153872.031690506</v>
      </c>
      <c r="H23" s="24" t="n">
        <f aca="false">D23-G23</f>
        <v>72644247.3699592</v>
      </c>
    </row>
    <row r="24" customFormat="false" ht="15" hidden="false" customHeight="false" outlineLevel="0" collapsed="false">
      <c r="A24" s="22" t="n">
        <v>23</v>
      </c>
      <c r="B24" s="22" t="n">
        <f aca="false">INT((A24-1)/12)+1</f>
        <v>2</v>
      </c>
      <c r="C24" s="23" t="n">
        <f aca="false">IF(B24&gt;=入力!$B$14,入力!$B$15,IF(B24&gt;=入力!$B$12,入力!$B$13,入力!$B$11))</f>
        <v>0.01</v>
      </c>
      <c r="D24" s="24" t="n">
        <f aca="false">H23</f>
        <v>72644247.3699592</v>
      </c>
      <c r="E24" s="24" t="n">
        <f aca="false">-PMT(C24/12,420-A24+1,D24)</f>
        <v>214537.131191881</v>
      </c>
      <c r="F24" s="24" t="n">
        <f aca="false">D24*C24/12</f>
        <v>60536.8728082994</v>
      </c>
      <c r="G24" s="24" t="n">
        <f aca="false">E24-F24</f>
        <v>154000.258383582</v>
      </c>
      <c r="H24" s="24" t="n">
        <f aca="false">D24-G24</f>
        <v>72490247.1115757</v>
      </c>
    </row>
    <row r="25" customFormat="false" ht="15" hidden="false" customHeight="false" outlineLevel="0" collapsed="false">
      <c r="A25" s="22" t="n">
        <v>24</v>
      </c>
      <c r="B25" s="22" t="n">
        <f aca="false">INT((A25-1)/12)+1</f>
        <v>2</v>
      </c>
      <c r="C25" s="23" t="n">
        <f aca="false">IF(B25&gt;=入力!$B$14,入力!$B$15,IF(B25&gt;=入力!$B$12,入力!$B$13,入力!$B$11))</f>
        <v>0.01</v>
      </c>
      <c r="D25" s="24" t="n">
        <f aca="false">H24</f>
        <v>72490247.1115757</v>
      </c>
      <c r="E25" s="24" t="n">
        <f aca="false">-PMT(C25/12,420-A25+1,D25)</f>
        <v>214537.131191881</v>
      </c>
      <c r="F25" s="24" t="n">
        <f aca="false">D25*C25/12</f>
        <v>60408.5392596464</v>
      </c>
      <c r="G25" s="24" t="n">
        <f aca="false">E25-F25</f>
        <v>154128.591932235</v>
      </c>
      <c r="H25" s="24" t="n">
        <f aca="false">D25-G25</f>
        <v>72336118.5196434</v>
      </c>
    </row>
    <row r="26" customFormat="false" ht="15" hidden="false" customHeight="false" outlineLevel="0" collapsed="false">
      <c r="A26" s="22" t="n">
        <v>25</v>
      </c>
      <c r="B26" s="22" t="n">
        <f aca="false">INT((A26-1)/12)+1</f>
        <v>3</v>
      </c>
      <c r="C26" s="23" t="n">
        <f aca="false">IF(B26&gt;=入力!$B$14,入力!$B$15,IF(B26&gt;=入力!$B$12,入力!$B$13,入力!$B$11))</f>
        <v>0.01</v>
      </c>
      <c r="D26" s="24" t="n">
        <f aca="false">H25</f>
        <v>72336118.5196434</v>
      </c>
      <c r="E26" s="24" t="n">
        <f aca="false">-PMT(C26/12,420-A26+1,D26)</f>
        <v>214537.131191881</v>
      </c>
      <c r="F26" s="24" t="n">
        <f aca="false">D26*C26/12</f>
        <v>60280.0987663695</v>
      </c>
      <c r="G26" s="24" t="n">
        <f aca="false">E26-F26</f>
        <v>154257.032425512</v>
      </c>
      <c r="H26" s="24" t="n">
        <f aca="false">D26-G26</f>
        <v>72181861.4872179</v>
      </c>
    </row>
    <row r="27" customFormat="false" ht="15" hidden="false" customHeight="false" outlineLevel="0" collapsed="false">
      <c r="A27" s="22" t="n">
        <v>26</v>
      </c>
      <c r="B27" s="22" t="n">
        <f aca="false">INT((A27-1)/12)+1</f>
        <v>3</v>
      </c>
      <c r="C27" s="23" t="n">
        <f aca="false">IF(B27&gt;=入力!$B$14,入力!$B$15,IF(B27&gt;=入力!$B$12,入力!$B$13,入力!$B$11))</f>
        <v>0.01</v>
      </c>
      <c r="D27" s="24" t="n">
        <f aca="false">H26</f>
        <v>72181861.4872179</v>
      </c>
      <c r="E27" s="24" t="n">
        <f aca="false">-PMT(C27/12,420-A27+1,D27)</f>
        <v>214537.131191881</v>
      </c>
      <c r="F27" s="24" t="n">
        <f aca="false">D27*C27/12</f>
        <v>60151.5512393483</v>
      </c>
      <c r="G27" s="24" t="n">
        <f aca="false">E27-F27</f>
        <v>154385.579952533</v>
      </c>
      <c r="H27" s="24" t="n">
        <f aca="false">D27-G27</f>
        <v>72027475.9072654</v>
      </c>
    </row>
    <row r="28" customFormat="false" ht="15" hidden="false" customHeight="false" outlineLevel="0" collapsed="false">
      <c r="A28" s="22" t="n">
        <v>27</v>
      </c>
      <c r="B28" s="22" t="n">
        <f aca="false">INT((A28-1)/12)+1</f>
        <v>3</v>
      </c>
      <c r="C28" s="23" t="n">
        <f aca="false">IF(B28&gt;=入力!$B$14,入力!$B$15,IF(B28&gt;=入力!$B$12,入力!$B$13,入力!$B$11))</f>
        <v>0.01</v>
      </c>
      <c r="D28" s="24" t="n">
        <f aca="false">H27</f>
        <v>72027475.9072654</v>
      </c>
      <c r="E28" s="24" t="n">
        <f aca="false">-PMT(C28/12,420-A28+1,D28)</f>
        <v>214537.131191881</v>
      </c>
      <c r="F28" s="24" t="n">
        <f aca="false">D28*C28/12</f>
        <v>60022.8965893878</v>
      </c>
      <c r="G28" s="24" t="n">
        <f aca="false">E28-F28</f>
        <v>154514.234602493</v>
      </c>
      <c r="H28" s="24" t="n">
        <f aca="false">D28-G28</f>
        <v>71872961.6726629</v>
      </c>
    </row>
    <row r="29" customFormat="false" ht="15" hidden="false" customHeight="false" outlineLevel="0" collapsed="false">
      <c r="A29" s="22" t="n">
        <v>28</v>
      </c>
      <c r="B29" s="22" t="n">
        <f aca="false">INT((A29-1)/12)+1</f>
        <v>3</v>
      </c>
      <c r="C29" s="23" t="n">
        <f aca="false">IF(B29&gt;=入力!$B$14,入力!$B$15,IF(B29&gt;=入力!$B$12,入力!$B$13,入力!$B$11))</f>
        <v>0.01</v>
      </c>
      <c r="D29" s="24" t="n">
        <f aca="false">H28</f>
        <v>71872961.6726629</v>
      </c>
      <c r="E29" s="24" t="n">
        <f aca="false">-PMT(C29/12,420-A29+1,D29)</f>
        <v>214537.131191881</v>
      </c>
      <c r="F29" s="24" t="n">
        <f aca="false">D29*C29/12</f>
        <v>59894.1347272191</v>
      </c>
      <c r="G29" s="24" t="n">
        <f aca="false">E29-F29</f>
        <v>154642.996464662</v>
      </c>
      <c r="H29" s="24" t="n">
        <f aca="false">D29-G29</f>
        <v>71718318.6761982</v>
      </c>
    </row>
    <row r="30" customFormat="false" ht="15" hidden="false" customHeight="false" outlineLevel="0" collapsed="false">
      <c r="A30" s="22" t="n">
        <v>29</v>
      </c>
      <c r="B30" s="22" t="n">
        <f aca="false">INT((A30-1)/12)+1</f>
        <v>3</v>
      </c>
      <c r="C30" s="23" t="n">
        <f aca="false">IF(B30&gt;=入力!$B$14,入力!$B$15,IF(B30&gt;=入力!$B$12,入力!$B$13,入力!$B$11))</f>
        <v>0.01</v>
      </c>
      <c r="D30" s="24" t="n">
        <f aca="false">H29</f>
        <v>71718318.6761982</v>
      </c>
      <c r="E30" s="24" t="n">
        <f aca="false">-PMT(C30/12,420-A30+1,D30)</f>
        <v>214537.131191881</v>
      </c>
      <c r="F30" s="24" t="n">
        <f aca="false">D30*C30/12</f>
        <v>59765.2655634985</v>
      </c>
      <c r="G30" s="24" t="n">
        <f aca="false">E30-F30</f>
        <v>154771.865628383</v>
      </c>
      <c r="H30" s="24" t="n">
        <f aca="false">D30-G30</f>
        <v>71563546.8105698</v>
      </c>
    </row>
    <row r="31" customFormat="false" ht="15" hidden="false" customHeight="false" outlineLevel="0" collapsed="false">
      <c r="A31" s="22" t="n">
        <v>30</v>
      </c>
      <c r="B31" s="22" t="n">
        <f aca="false">INT((A31-1)/12)+1</f>
        <v>3</v>
      </c>
      <c r="C31" s="23" t="n">
        <f aca="false">IF(B31&gt;=入力!$B$14,入力!$B$15,IF(B31&gt;=入力!$B$12,入力!$B$13,入力!$B$11))</f>
        <v>0.01</v>
      </c>
      <c r="D31" s="24" t="n">
        <f aca="false">H30</f>
        <v>71563546.8105698</v>
      </c>
      <c r="E31" s="24" t="n">
        <f aca="false">-PMT(C31/12,420-A31+1,D31)</f>
        <v>214537.131191881</v>
      </c>
      <c r="F31" s="24" t="n">
        <f aca="false">D31*C31/12</f>
        <v>59636.2890088082</v>
      </c>
      <c r="G31" s="24" t="n">
        <f aca="false">E31-F31</f>
        <v>154900.842183073</v>
      </c>
      <c r="H31" s="24" t="n">
        <f aca="false">D31-G31</f>
        <v>71408645.9683868</v>
      </c>
    </row>
    <row r="32" customFormat="false" ht="15" hidden="false" customHeight="false" outlineLevel="0" collapsed="false">
      <c r="A32" s="22" t="n">
        <v>31</v>
      </c>
      <c r="B32" s="22" t="n">
        <f aca="false">INT((A32-1)/12)+1</f>
        <v>3</v>
      </c>
      <c r="C32" s="23" t="n">
        <f aca="false">IF(B32&gt;=入力!$B$14,入力!$B$15,IF(B32&gt;=入力!$B$12,入力!$B$13,入力!$B$11))</f>
        <v>0.01</v>
      </c>
      <c r="D32" s="24" t="n">
        <f aca="false">H31</f>
        <v>71408645.9683868</v>
      </c>
      <c r="E32" s="24" t="n">
        <f aca="false">-PMT(C32/12,420-A32+1,D32)</f>
        <v>214537.131191881</v>
      </c>
      <c r="F32" s="24" t="n">
        <f aca="false">D32*C32/12</f>
        <v>59507.2049736556</v>
      </c>
      <c r="G32" s="24" t="n">
        <f aca="false">E32-F32</f>
        <v>155029.926218225</v>
      </c>
      <c r="H32" s="24" t="n">
        <f aca="false">D32-G32</f>
        <v>71253616.0421685</v>
      </c>
    </row>
    <row r="33" customFormat="false" ht="15" hidden="false" customHeight="false" outlineLevel="0" collapsed="false">
      <c r="A33" s="22" t="n">
        <v>32</v>
      </c>
      <c r="B33" s="22" t="n">
        <f aca="false">INT((A33-1)/12)+1</f>
        <v>3</v>
      </c>
      <c r="C33" s="23" t="n">
        <f aca="false">IF(B33&gt;=入力!$B$14,入力!$B$15,IF(B33&gt;=入力!$B$12,入力!$B$13,入力!$B$11))</f>
        <v>0.01</v>
      </c>
      <c r="D33" s="24" t="n">
        <f aca="false">H32</f>
        <v>71253616.0421685</v>
      </c>
      <c r="E33" s="24" t="n">
        <f aca="false">-PMT(C33/12,420-A33+1,D33)</f>
        <v>214537.131191881</v>
      </c>
      <c r="F33" s="24" t="n">
        <f aca="false">D33*C33/12</f>
        <v>59378.0133684738</v>
      </c>
      <c r="G33" s="24" t="n">
        <f aca="false">E33-F33</f>
        <v>155159.117823407</v>
      </c>
      <c r="H33" s="24" t="n">
        <f aca="false">D33-G33</f>
        <v>71098456.9243451</v>
      </c>
    </row>
    <row r="34" customFormat="false" ht="15" hidden="false" customHeight="false" outlineLevel="0" collapsed="false">
      <c r="A34" s="22" t="n">
        <v>33</v>
      </c>
      <c r="B34" s="22" t="n">
        <f aca="false">INT((A34-1)/12)+1</f>
        <v>3</v>
      </c>
      <c r="C34" s="23" t="n">
        <f aca="false">IF(B34&gt;=入力!$B$14,入力!$B$15,IF(B34&gt;=入力!$B$12,入力!$B$13,入力!$B$11))</f>
        <v>0.01</v>
      </c>
      <c r="D34" s="24" t="n">
        <f aca="false">H33</f>
        <v>71098456.9243451</v>
      </c>
      <c r="E34" s="24" t="n">
        <f aca="false">-PMT(C34/12,420-A34+1,D34)</f>
        <v>214537.131191881</v>
      </c>
      <c r="F34" s="24" t="n">
        <f aca="false">D34*C34/12</f>
        <v>59248.7141036209</v>
      </c>
      <c r="G34" s="24" t="n">
        <f aca="false">E34-F34</f>
        <v>155288.41708826</v>
      </c>
      <c r="H34" s="24" t="n">
        <f aca="false">D34-G34</f>
        <v>70943168.5072569</v>
      </c>
    </row>
    <row r="35" customFormat="false" ht="15" hidden="false" customHeight="false" outlineLevel="0" collapsed="false">
      <c r="A35" s="22" t="n">
        <v>34</v>
      </c>
      <c r="B35" s="22" t="n">
        <f aca="false">INT((A35-1)/12)+1</f>
        <v>3</v>
      </c>
      <c r="C35" s="23" t="n">
        <f aca="false">IF(B35&gt;=入力!$B$14,入力!$B$15,IF(B35&gt;=入力!$B$12,入力!$B$13,入力!$B$11))</f>
        <v>0.01</v>
      </c>
      <c r="D35" s="24" t="n">
        <f aca="false">H34</f>
        <v>70943168.5072569</v>
      </c>
      <c r="E35" s="24" t="n">
        <f aca="false">-PMT(C35/12,420-A35+1,D35)</f>
        <v>214537.131191881</v>
      </c>
      <c r="F35" s="24" t="n">
        <f aca="false">D35*C35/12</f>
        <v>59119.3070893807</v>
      </c>
      <c r="G35" s="24" t="n">
        <f aca="false">E35-F35</f>
        <v>155417.8241025</v>
      </c>
      <c r="H35" s="24" t="n">
        <f aca="false">D35-G35</f>
        <v>70787750.6831544</v>
      </c>
    </row>
    <row r="36" customFormat="false" ht="15" hidden="false" customHeight="false" outlineLevel="0" collapsed="false">
      <c r="A36" s="22" t="n">
        <v>35</v>
      </c>
      <c r="B36" s="22" t="n">
        <f aca="false">INT((A36-1)/12)+1</f>
        <v>3</v>
      </c>
      <c r="C36" s="23" t="n">
        <f aca="false">IF(B36&gt;=入力!$B$14,入力!$B$15,IF(B36&gt;=入力!$B$12,入力!$B$13,入力!$B$11))</f>
        <v>0.01</v>
      </c>
      <c r="D36" s="24" t="n">
        <f aca="false">H35</f>
        <v>70787750.6831544</v>
      </c>
      <c r="E36" s="24" t="n">
        <f aca="false">-PMT(C36/12,420-A36+1,D36)</f>
        <v>214537.131191881</v>
      </c>
      <c r="F36" s="24" t="n">
        <f aca="false">D36*C36/12</f>
        <v>58989.792235962</v>
      </c>
      <c r="G36" s="24" t="n">
        <f aca="false">E36-F36</f>
        <v>155547.338955919</v>
      </c>
      <c r="H36" s="24" t="n">
        <f aca="false">D36-G36</f>
        <v>70632203.3441985</v>
      </c>
    </row>
    <row r="37" customFormat="false" ht="15" hidden="false" customHeight="false" outlineLevel="0" collapsed="false">
      <c r="A37" s="22" t="n">
        <v>36</v>
      </c>
      <c r="B37" s="22" t="n">
        <f aca="false">INT((A37-1)/12)+1</f>
        <v>3</v>
      </c>
      <c r="C37" s="23" t="n">
        <f aca="false">IF(B37&gt;=入力!$B$14,入力!$B$15,IF(B37&gt;=入力!$B$12,入力!$B$13,入力!$B$11))</f>
        <v>0.01</v>
      </c>
      <c r="D37" s="24" t="n">
        <f aca="false">H36</f>
        <v>70632203.3441985</v>
      </c>
      <c r="E37" s="24" t="n">
        <f aca="false">-PMT(C37/12,420-A37+1,D37)</f>
        <v>214537.131191881</v>
      </c>
      <c r="F37" s="24" t="n">
        <f aca="false">D37*C37/12</f>
        <v>58860.1694534987</v>
      </c>
      <c r="G37" s="24" t="n">
        <f aca="false">E37-F37</f>
        <v>155676.961738382</v>
      </c>
      <c r="H37" s="24" t="n">
        <f aca="false">D37-G37</f>
        <v>70476526.3824601</v>
      </c>
    </row>
    <row r="38" customFormat="false" ht="15" hidden="false" customHeight="false" outlineLevel="0" collapsed="false">
      <c r="A38" s="22" t="n">
        <v>37</v>
      </c>
      <c r="B38" s="22" t="n">
        <f aca="false">INT((A38-1)/12)+1</f>
        <v>4</v>
      </c>
      <c r="C38" s="23" t="n">
        <f aca="false">IF(B38&gt;=入力!$B$14,入力!$B$15,IF(B38&gt;=入力!$B$12,入力!$B$13,入力!$B$11))</f>
        <v>0.01</v>
      </c>
      <c r="D38" s="24" t="n">
        <f aca="false">H37</f>
        <v>70476526.3824601</v>
      </c>
      <c r="E38" s="24" t="n">
        <f aca="false">-PMT(C38/12,420-A38+1,D38)</f>
        <v>214537.131191881</v>
      </c>
      <c r="F38" s="24" t="n">
        <f aca="false">D38*C38/12</f>
        <v>58730.4386520501</v>
      </c>
      <c r="G38" s="24" t="n">
        <f aca="false">E38-F38</f>
        <v>155806.692539831</v>
      </c>
      <c r="H38" s="24" t="n">
        <f aca="false">D38-G38</f>
        <v>70320719.6899203</v>
      </c>
    </row>
    <row r="39" customFormat="false" ht="15" hidden="false" customHeight="false" outlineLevel="0" collapsed="false">
      <c r="A39" s="22" t="n">
        <v>38</v>
      </c>
      <c r="B39" s="22" t="n">
        <f aca="false">INT((A39-1)/12)+1</f>
        <v>4</v>
      </c>
      <c r="C39" s="23" t="n">
        <f aca="false">IF(B39&gt;=入力!$B$14,入力!$B$15,IF(B39&gt;=入力!$B$12,入力!$B$13,入力!$B$11))</f>
        <v>0.01</v>
      </c>
      <c r="D39" s="24" t="n">
        <f aca="false">H38</f>
        <v>70320719.6899203</v>
      </c>
      <c r="E39" s="24" t="n">
        <f aca="false">-PMT(C39/12,420-A39+1,D39)</f>
        <v>214537.131191881</v>
      </c>
      <c r="F39" s="24" t="n">
        <f aca="false">D39*C39/12</f>
        <v>58600.5997416002</v>
      </c>
      <c r="G39" s="24" t="n">
        <f aca="false">E39-F39</f>
        <v>155936.531450281</v>
      </c>
      <c r="H39" s="24" t="n">
        <f aca="false">D39-G39</f>
        <v>70164783.15847</v>
      </c>
    </row>
    <row r="40" customFormat="false" ht="15" hidden="false" customHeight="false" outlineLevel="0" collapsed="false">
      <c r="A40" s="22" t="n">
        <v>39</v>
      </c>
      <c r="B40" s="22" t="n">
        <f aca="false">INT((A40-1)/12)+1</f>
        <v>4</v>
      </c>
      <c r="C40" s="23" t="n">
        <f aca="false">IF(B40&gt;=入力!$B$14,入力!$B$15,IF(B40&gt;=入力!$B$12,入力!$B$13,入力!$B$11))</f>
        <v>0.01</v>
      </c>
      <c r="D40" s="24" t="n">
        <f aca="false">H39</f>
        <v>70164783.15847</v>
      </c>
      <c r="E40" s="24" t="n">
        <f aca="false">-PMT(C40/12,420-A40+1,D40)</f>
        <v>214537.131191881</v>
      </c>
      <c r="F40" s="24" t="n">
        <f aca="false">D40*C40/12</f>
        <v>58470.6526320583</v>
      </c>
      <c r="G40" s="24" t="n">
        <f aca="false">E40-F40</f>
        <v>156066.478559823</v>
      </c>
      <c r="H40" s="24" t="n">
        <f aca="false">D40-G40</f>
        <v>70008716.6799101</v>
      </c>
    </row>
    <row r="41" customFormat="false" ht="15" hidden="false" customHeight="false" outlineLevel="0" collapsed="false">
      <c r="A41" s="22" t="n">
        <v>40</v>
      </c>
      <c r="B41" s="22" t="n">
        <f aca="false">INT((A41-1)/12)+1</f>
        <v>4</v>
      </c>
      <c r="C41" s="23" t="n">
        <f aca="false">IF(B41&gt;=入力!$B$14,入力!$B$15,IF(B41&gt;=入力!$B$12,入力!$B$13,入力!$B$11))</f>
        <v>0.01</v>
      </c>
      <c r="D41" s="24" t="n">
        <f aca="false">H40</f>
        <v>70008716.6799101</v>
      </c>
      <c r="E41" s="24" t="n">
        <f aca="false">-PMT(C41/12,420-A41+1,D41)</f>
        <v>214537.131191881</v>
      </c>
      <c r="F41" s="24" t="n">
        <f aca="false">D41*C41/12</f>
        <v>58340.5972332585</v>
      </c>
      <c r="G41" s="24" t="n">
        <f aca="false">E41-F41</f>
        <v>156196.533958623</v>
      </c>
      <c r="H41" s="24" t="n">
        <f aca="false">D41-G41</f>
        <v>69852520.1459515</v>
      </c>
    </row>
    <row r="42" customFormat="false" ht="15" hidden="false" customHeight="false" outlineLevel="0" collapsed="false">
      <c r="A42" s="22" t="n">
        <v>41</v>
      </c>
      <c r="B42" s="22" t="n">
        <f aca="false">INT((A42-1)/12)+1</f>
        <v>4</v>
      </c>
      <c r="C42" s="23" t="n">
        <f aca="false">IF(B42&gt;=入力!$B$14,入力!$B$15,IF(B42&gt;=入力!$B$12,入力!$B$13,入力!$B$11))</f>
        <v>0.01</v>
      </c>
      <c r="D42" s="24" t="n">
        <f aca="false">H41</f>
        <v>69852520.1459515</v>
      </c>
      <c r="E42" s="24" t="n">
        <f aca="false">-PMT(C42/12,420-A42+1,D42)</f>
        <v>214537.131191881</v>
      </c>
      <c r="F42" s="24" t="n">
        <f aca="false">D42*C42/12</f>
        <v>58210.4334549596</v>
      </c>
      <c r="G42" s="24" t="n">
        <f aca="false">E42-F42</f>
        <v>156326.697736921</v>
      </c>
      <c r="H42" s="24" t="n">
        <f aca="false">D42-G42</f>
        <v>69696193.4482146</v>
      </c>
    </row>
    <row r="43" customFormat="false" ht="15" hidden="false" customHeight="false" outlineLevel="0" collapsed="false">
      <c r="A43" s="22" t="n">
        <v>42</v>
      </c>
      <c r="B43" s="22" t="n">
        <f aca="false">INT((A43-1)/12)+1</f>
        <v>4</v>
      </c>
      <c r="C43" s="23" t="n">
        <f aca="false">IF(B43&gt;=入力!$B$14,入力!$B$15,IF(B43&gt;=入力!$B$12,入力!$B$13,入力!$B$11))</f>
        <v>0.01</v>
      </c>
      <c r="D43" s="24" t="n">
        <f aca="false">H42</f>
        <v>69696193.4482146</v>
      </c>
      <c r="E43" s="24" t="n">
        <f aca="false">-PMT(C43/12,420-A43+1,D43)</f>
        <v>214537.131191881</v>
      </c>
      <c r="F43" s="24" t="n">
        <f aca="false">D43*C43/12</f>
        <v>58080.1612068455</v>
      </c>
      <c r="G43" s="24" t="n">
        <f aca="false">E43-F43</f>
        <v>156456.969985036</v>
      </c>
      <c r="H43" s="24" t="n">
        <f aca="false">D43-G43</f>
        <v>69539736.4782296</v>
      </c>
    </row>
    <row r="44" customFormat="false" ht="15" hidden="false" customHeight="false" outlineLevel="0" collapsed="false">
      <c r="A44" s="22" t="n">
        <v>43</v>
      </c>
      <c r="B44" s="22" t="n">
        <f aca="false">INT((A44-1)/12)+1</f>
        <v>4</v>
      </c>
      <c r="C44" s="23" t="n">
        <f aca="false">IF(B44&gt;=入力!$B$14,入力!$B$15,IF(B44&gt;=入力!$B$12,入力!$B$13,入力!$B$11))</f>
        <v>0.01</v>
      </c>
      <c r="D44" s="24" t="n">
        <f aca="false">H43</f>
        <v>69539736.4782296</v>
      </c>
      <c r="E44" s="24" t="n">
        <f aca="false">-PMT(C44/12,420-A44+1,D44)</f>
        <v>214537.131191881</v>
      </c>
      <c r="F44" s="24" t="n">
        <f aca="false">D44*C44/12</f>
        <v>57949.7803985246</v>
      </c>
      <c r="G44" s="24" t="n">
        <f aca="false">E44-F44</f>
        <v>156587.350793356</v>
      </c>
      <c r="H44" s="24" t="n">
        <f aca="false">D44-G44</f>
        <v>69383149.1274362</v>
      </c>
    </row>
    <row r="45" customFormat="false" ht="15" hidden="false" customHeight="false" outlineLevel="0" collapsed="false">
      <c r="A45" s="22" t="n">
        <v>44</v>
      </c>
      <c r="B45" s="22" t="n">
        <f aca="false">INT((A45-1)/12)+1</f>
        <v>4</v>
      </c>
      <c r="C45" s="23" t="n">
        <f aca="false">IF(B45&gt;=入力!$B$14,入力!$B$15,IF(B45&gt;=入力!$B$12,入力!$B$13,入力!$B$11))</f>
        <v>0.01</v>
      </c>
      <c r="D45" s="24" t="n">
        <f aca="false">H44</f>
        <v>69383149.1274362</v>
      </c>
      <c r="E45" s="24" t="n">
        <f aca="false">-PMT(C45/12,420-A45+1,D45)</f>
        <v>214537.131191881</v>
      </c>
      <c r="F45" s="24" t="n">
        <f aca="false">D45*C45/12</f>
        <v>57819.2909395302</v>
      </c>
      <c r="G45" s="24" t="n">
        <f aca="false">E45-F45</f>
        <v>156717.840252351</v>
      </c>
      <c r="H45" s="24" t="n">
        <f aca="false">D45-G45</f>
        <v>69226431.2871838</v>
      </c>
    </row>
    <row r="46" customFormat="false" ht="15" hidden="false" customHeight="false" outlineLevel="0" collapsed="false">
      <c r="A46" s="22" t="n">
        <v>45</v>
      </c>
      <c r="B46" s="22" t="n">
        <f aca="false">INT((A46-1)/12)+1</f>
        <v>4</v>
      </c>
      <c r="C46" s="23" t="n">
        <f aca="false">IF(B46&gt;=入力!$B$14,入力!$B$15,IF(B46&gt;=入力!$B$12,入力!$B$13,入力!$B$11))</f>
        <v>0.01</v>
      </c>
      <c r="D46" s="24" t="n">
        <f aca="false">H45</f>
        <v>69226431.2871838</v>
      </c>
      <c r="E46" s="24" t="n">
        <f aca="false">-PMT(C46/12,420-A46+1,D46)</f>
        <v>214537.131191881</v>
      </c>
      <c r="F46" s="24" t="n">
        <f aca="false">D46*C46/12</f>
        <v>57688.6927393199</v>
      </c>
      <c r="G46" s="24" t="n">
        <f aca="false">E46-F46</f>
        <v>156848.438452561</v>
      </c>
      <c r="H46" s="24" t="n">
        <f aca="false">D46-G46</f>
        <v>69069582.8487313</v>
      </c>
    </row>
    <row r="47" customFormat="false" ht="15" hidden="false" customHeight="false" outlineLevel="0" collapsed="false">
      <c r="A47" s="22" t="n">
        <v>46</v>
      </c>
      <c r="B47" s="22" t="n">
        <f aca="false">INT((A47-1)/12)+1</f>
        <v>4</v>
      </c>
      <c r="C47" s="23" t="n">
        <f aca="false">IF(B47&gt;=入力!$B$14,入力!$B$15,IF(B47&gt;=入力!$B$12,入力!$B$13,入力!$B$11))</f>
        <v>0.01</v>
      </c>
      <c r="D47" s="24" t="n">
        <f aca="false">H46</f>
        <v>69069582.8487313</v>
      </c>
      <c r="E47" s="24" t="n">
        <f aca="false">-PMT(C47/12,420-A47+1,D47)</f>
        <v>214537.131191881</v>
      </c>
      <c r="F47" s="24" t="n">
        <f aca="false">D47*C47/12</f>
        <v>57557.9857072761</v>
      </c>
      <c r="G47" s="24" t="n">
        <f aca="false">E47-F47</f>
        <v>156979.145484605</v>
      </c>
      <c r="H47" s="24" t="n">
        <f aca="false">D47-G47</f>
        <v>68912603.7032467</v>
      </c>
    </row>
    <row r="48" customFormat="false" ht="15" hidden="false" customHeight="false" outlineLevel="0" collapsed="false">
      <c r="A48" s="22" t="n">
        <v>47</v>
      </c>
      <c r="B48" s="22" t="n">
        <f aca="false">INT((A48-1)/12)+1</f>
        <v>4</v>
      </c>
      <c r="C48" s="23" t="n">
        <f aca="false">IF(B48&gt;=入力!$B$14,入力!$B$15,IF(B48&gt;=入力!$B$12,入力!$B$13,入力!$B$11))</f>
        <v>0.01</v>
      </c>
      <c r="D48" s="24" t="n">
        <f aca="false">H47</f>
        <v>68912603.7032467</v>
      </c>
      <c r="E48" s="24" t="n">
        <f aca="false">-PMT(C48/12,420-A48+1,D48)</f>
        <v>214537.131191881</v>
      </c>
      <c r="F48" s="24" t="n">
        <f aca="false">D48*C48/12</f>
        <v>57427.1697527056</v>
      </c>
      <c r="G48" s="24" t="n">
        <f aca="false">E48-F48</f>
        <v>157109.961439176</v>
      </c>
      <c r="H48" s="24" t="n">
        <f aca="false">D48-G48</f>
        <v>68755493.7418075</v>
      </c>
    </row>
    <row r="49" customFormat="false" ht="15" hidden="false" customHeight="false" outlineLevel="0" collapsed="false">
      <c r="A49" s="22" t="n">
        <v>48</v>
      </c>
      <c r="B49" s="22" t="n">
        <f aca="false">INT((A49-1)/12)+1</f>
        <v>4</v>
      </c>
      <c r="C49" s="23" t="n">
        <f aca="false">IF(B49&gt;=入力!$B$14,入力!$B$15,IF(B49&gt;=入力!$B$12,入力!$B$13,入力!$B$11))</f>
        <v>0.01</v>
      </c>
      <c r="D49" s="24" t="n">
        <f aca="false">H48</f>
        <v>68755493.7418075</v>
      </c>
      <c r="E49" s="24" t="n">
        <f aca="false">-PMT(C49/12,420-A49+1,D49)</f>
        <v>214537.131191881</v>
      </c>
      <c r="F49" s="24" t="n">
        <f aca="false">D49*C49/12</f>
        <v>57296.2447848396</v>
      </c>
      <c r="G49" s="24" t="n">
        <f aca="false">E49-F49</f>
        <v>157240.886407041</v>
      </c>
      <c r="H49" s="24" t="n">
        <f aca="false">D49-G49</f>
        <v>68598252.8554004</v>
      </c>
    </row>
    <row r="50" customFormat="false" ht="15" hidden="false" customHeight="false" outlineLevel="0" collapsed="false">
      <c r="A50" s="22" t="n">
        <v>49</v>
      </c>
      <c r="B50" s="22" t="n">
        <f aca="false">INT((A50-1)/12)+1</f>
        <v>5</v>
      </c>
      <c r="C50" s="23" t="n">
        <f aca="false">IF(B50&gt;=入力!$B$14,入力!$B$15,IF(B50&gt;=入力!$B$12,入力!$B$13,入力!$B$11))</f>
        <v>0.01</v>
      </c>
      <c r="D50" s="24" t="n">
        <f aca="false">H49</f>
        <v>68598252.8554004</v>
      </c>
      <c r="E50" s="24" t="n">
        <f aca="false">-PMT(C50/12,420-A50+1,D50)</f>
        <v>214537.131191881</v>
      </c>
      <c r="F50" s="24" t="n">
        <f aca="false">D50*C50/12</f>
        <v>57165.2107128337</v>
      </c>
      <c r="G50" s="24" t="n">
        <f aca="false">E50-F50</f>
        <v>157371.920479047</v>
      </c>
      <c r="H50" s="24" t="n">
        <f aca="false">D50-G50</f>
        <v>68440880.9349214</v>
      </c>
    </row>
    <row r="51" customFormat="false" ht="15" hidden="false" customHeight="false" outlineLevel="0" collapsed="false">
      <c r="A51" s="22" t="n">
        <v>50</v>
      </c>
      <c r="B51" s="22" t="n">
        <f aca="false">INT((A51-1)/12)+1</f>
        <v>5</v>
      </c>
      <c r="C51" s="23" t="n">
        <f aca="false">IF(B51&gt;=入力!$B$14,入力!$B$15,IF(B51&gt;=入力!$B$12,入力!$B$13,入力!$B$11))</f>
        <v>0.01</v>
      </c>
      <c r="D51" s="24" t="n">
        <f aca="false">H50</f>
        <v>68440880.9349214</v>
      </c>
      <c r="E51" s="24" t="n">
        <f aca="false">-PMT(C51/12,420-A51+1,D51)</f>
        <v>214537.131191881</v>
      </c>
      <c r="F51" s="24" t="n">
        <f aca="false">D51*C51/12</f>
        <v>57034.0674457678</v>
      </c>
      <c r="G51" s="24" t="n">
        <f aca="false">E51-F51</f>
        <v>157503.063746113</v>
      </c>
      <c r="H51" s="24" t="n">
        <f aca="false">D51-G51</f>
        <v>68283377.8711753</v>
      </c>
    </row>
    <row r="52" customFormat="false" ht="15" hidden="false" customHeight="false" outlineLevel="0" collapsed="false">
      <c r="A52" s="22" t="n">
        <v>51</v>
      </c>
      <c r="B52" s="22" t="n">
        <f aca="false">INT((A52-1)/12)+1</f>
        <v>5</v>
      </c>
      <c r="C52" s="23" t="n">
        <f aca="false">IF(B52&gt;=入力!$B$14,入力!$B$15,IF(B52&gt;=入力!$B$12,入力!$B$13,入力!$B$11))</f>
        <v>0.01</v>
      </c>
      <c r="D52" s="24" t="n">
        <f aca="false">H51</f>
        <v>68283377.8711753</v>
      </c>
      <c r="E52" s="24" t="n">
        <f aca="false">-PMT(C52/12,420-A52+1,D52)</f>
        <v>214537.131191881</v>
      </c>
      <c r="F52" s="24" t="n">
        <f aca="false">D52*C52/12</f>
        <v>56902.8148926461</v>
      </c>
      <c r="G52" s="24" t="n">
        <f aca="false">E52-F52</f>
        <v>157634.316299235</v>
      </c>
      <c r="H52" s="24" t="n">
        <f aca="false">D52-G52</f>
        <v>68125743.5548761</v>
      </c>
    </row>
    <row r="53" customFormat="false" ht="15" hidden="false" customHeight="false" outlineLevel="0" collapsed="false">
      <c r="A53" s="22" t="n">
        <v>52</v>
      </c>
      <c r="B53" s="22" t="n">
        <f aca="false">INT((A53-1)/12)+1</f>
        <v>5</v>
      </c>
      <c r="C53" s="23" t="n">
        <f aca="false">IF(B53&gt;=入力!$B$14,入力!$B$15,IF(B53&gt;=入力!$B$12,入力!$B$13,入力!$B$11))</f>
        <v>0.01</v>
      </c>
      <c r="D53" s="24" t="n">
        <f aca="false">H52</f>
        <v>68125743.5548761</v>
      </c>
      <c r="E53" s="24" t="n">
        <f aca="false">-PMT(C53/12,420-A53+1,D53)</f>
        <v>214537.131191881</v>
      </c>
      <c r="F53" s="24" t="n">
        <f aca="false">D53*C53/12</f>
        <v>56771.4529623967</v>
      </c>
      <c r="G53" s="24" t="n">
        <f aca="false">E53-F53</f>
        <v>157765.678229484</v>
      </c>
      <c r="H53" s="24" t="n">
        <f aca="false">D53-G53</f>
        <v>67967977.8766466</v>
      </c>
    </row>
    <row r="54" customFormat="false" ht="15" hidden="false" customHeight="false" outlineLevel="0" collapsed="false">
      <c r="A54" s="22" t="n">
        <v>53</v>
      </c>
      <c r="B54" s="22" t="n">
        <f aca="false">INT((A54-1)/12)+1</f>
        <v>5</v>
      </c>
      <c r="C54" s="23" t="n">
        <f aca="false">IF(B54&gt;=入力!$B$14,入力!$B$15,IF(B54&gt;=入力!$B$12,入力!$B$13,入力!$B$11))</f>
        <v>0.01</v>
      </c>
      <c r="D54" s="24" t="n">
        <f aca="false">H53</f>
        <v>67967977.8766466</v>
      </c>
      <c r="E54" s="24" t="n">
        <f aca="false">-PMT(C54/12,420-A54+1,D54)</f>
        <v>214537.131191881</v>
      </c>
      <c r="F54" s="24" t="n">
        <f aca="false">D54*C54/12</f>
        <v>56639.9815638722</v>
      </c>
      <c r="G54" s="24" t="n">
        <f aca="false">E54-F54</f>
        <v>157897.149628009</v>
      </c>
      <c r="H54" s="24" t="n">
        <f aca="false">D54-G54</f>
        <v>67810080.7270186</v>
      </c>
    </row>
    <row r="55" customFormat="false" ht="15" hidden="false" customHeight="false" outlineLevel="0" collapsed="false">
      <c r="A55" s="22" t="n">
        <v>54</v>
      </c>
      <c r="B55" s="22" t="n">
        <f aca="false">INT((A55-1)/12)+1</f>
        <v>5</v>
      </c>
      <c r="C55" s="23" t="n">
        <f aca="false">IF(B55&gt;=入力!$B$14,入力!$B$15,IF(B55&gt;=入力!$B$12,入力!$B$13,入力!$B$11))</f>
        <v>0.01</v>
      </c>
      <c r="D55" s="24" t="n">
        <f aca="false">H54</f>
        <v>67810080.7270186</v>
      </c>
      <c r="E55" s="24" t="n">
        <f aca="false">-PMT(C55/12,420-A55+1,D55)</f>
        <v>214537.131191881</v>
      </c>
      <c r="F55" s="24" t="n">
        <f aca="false">D55*C55/12</f>
        <v>56508.4006058488</v>
      </c>
      <c r="G55" s="24" t="n">
        <f aca="false">E55-F55</f>
        <v>158028.730586032</v>
      </c>
      <c r="H55" s="24" t="n">
        <f aca="false">D55-G55</f>
        <v>67652051.9964325</v>
      </c>
    </row>
    <row r="56" customFormat="false" ht="15" hidden="false" customHeight="false" outlineLevel="0" collapsed="false">
      <c r="A56" s="22" t="n">
        <v>55</v>
      </c>
      <c r="B56" s="22" t="n">
        <f aca="false">INT((A56-1)/12)+1</f>
        <v>5</v>
      </c>
      <c r="C56" s="23" t="n">
        <f aca="false">IF(B56&gt;=入力!$B$14,入力!$B$15,IF(B56&gt;=入力!$B$12,入力!$B$13,入力!$B$11))</f>
        <v>0.01</v>
      </c>
      <c r="D56" s="24" t="n">
        <f aca="false">H55</f>
        <v>67652051.9964325</v>
      </c>
      <c r="E56" s="24" t="n">
        <f aca="false">-PMT(C56/12,420-A56+1,D56)</f>
        <v>214537.131191881</v>
      </c>
      <c r="F56" s="24" t="n">
        <f aca="false">D56*C56/12</f>
        <v>56376.7099970271</v>
      </c>
      <c r="G56" s="24" t="n">
        <f aca="false">E56-F56</f>
        <v>158160.421194854</v>
      </c>
      <c r="H56" s="24" t="n">
        <f aca="false">D56-G56</f>
        <v>67493891.5752377</v>
      </c>
    </row>
    <row r="57" customFormat="false" ht="15" hidden="false" customHeight="false" outlineLevel="0" collapsed="false">
      <c r="A57" s="22" t="n">
        <v>56</v>
      </c>
      <c r="B57" s="22" t="n">
        <f aca="false">INT((A57-1)/12)+1</f>
        <v>5</v>
      </c>
      <c r="C57" s="23" t="n">
        <f aca="false">IF(B57&gt;=入力!$B$14,入力!$B$15,IF(B57&gt;=入力!$B$12,入力!$B$13,入力!$B$11))</f>
        <v>0.01</v>
      </c>
      <c r="D57" s="24" t="n">
        <f aca="false">H56</f>
        <v>67493891.5752377</v>
      </c>
      <c r="E57" s="24" t="n">
        <f aca="false">-PMT(C57/12,420-A57+1,D57)</f>
        <v>214537.131191881</v>
      </c>
      <c r="F57" s="24" t="n">
        <f aca="false">D57*C57/12</f>
        <v>56244.9096460314</v>
      </c>
      <c r="G57" s="24" t="n">
        <f aca="false">E57-F57</f>
        <v>158292.22154585</v>
      </c>
      <c r="H57" s="24" t="n">
        <f aca="false">D57-G57</f>
        <v>67335599.3536918</v>
      </c>
    </row>
    <row r="58" customFormat="false" ht="15" hidden="false" customHeight="false" outlineLevel="0" collapsed="false">
      <c r="A58" s="22" t="n">
        <v>57</v>
      </c>
      <c r="B58" s="22" t="n">
        <f aca="false">INT((A58-1)/12)+1</f>
        <v>5</v>
      </c>
      <c r="C58" s="23" t="n">
        <f aca="false">IF(B58&gt;=入力!$B$14,入力!$B$15,IF(B58&gt;=入力!$B$12,入力!$B$13,入力!$B$11))</f>
        <v>0.01</v>
      </c>
      <c r="D58" s="24" t="n">
        <f aca="false">H57</f>
        <v>67335599.3536918</v>
      </c>
      <c r="E58" s="24" t="n">
        <f aca="false">-PMT(C58/12,420-A58+1,D58)</f>
        <v>214537.131191881</v>
      </c>
      <c r="F58" s="24" t="n">
        <f aca="false">D58*C58/12</f>
        <v>56112.9994614099</v>
      </c>
      <c r="G58" s="24" t="n">
        <f aca="false">E58-F58</f>
        <v>158424.131730471</v>
      </c>
      <c r="H58" s="24" t="n">
        <f aca="false">D58-G58</f>
        <v>67177175.2219614</v>
      </c>
    </row>
    <row r="59" customFormat="false" ht="15" hidden="false" customHeight="false" outlineLevel="0" collapsed="false">
      <c r="A59" s="22" t="n">
        <v>58</v>
      </c>
      <c r="B59" s="22" t="n">
        <f aca="false">INT((A59-1)/12)+1</f>
        <v>5</v>
      </c>
      <c r="C59" s="23" t="n">
        <f aca="false">IF(B59&gt;=入力!$B$14,入力!$B$15,IF(B59&gt;=入力!$B$12,入力!$B$13,入力!$B$11))</f>
        <v>0.01</v>
      </c>
      <c r="D59" s="24" t="n">
        <f aca="false">H58</f>
        <v>67177175.2219614</v>
      </c>
      <c r="E59" s="24" t="n">
        <f aca="false">-PMT(C59/12,420-A59+1,D59)</f>
        <v>214537.131191881</v>
      </c>
      <c r="F59" s="24" t="n">
        <f aca="false">D59*C59/12</f>
        <v>55980.9793516345</v>
      </c>
      <c r="G59" s="24" t="n">
        <f aca="false">E59-F59</f>
        <v>158556.151840247</v>
      </c>
      <c r="H59" s="24" t="n">
        <f aca="false">D59-G59</f>
        <v>67018619.0701211</v>
      </c>
    </row>
    <row r="60" customFormat="false" ht="15" hidden="false" customHeight="false" outlineLevel="0" collapsed="false">
      <c r="A60" s="22" t="n">
        <v>59</v>
      </c>
      <c r="B60" s="22" t="n">
        <f aca="false">INT((A60-1)/12)+1</f>
        <v>5</v>
      </c>
      <c r="C60" s="23" t="n">
        <f aca="false">IF(B60&gt;=入力!$B$14,入力!$B$15,IF(B60&gt;=入力!$B$12,入力!$B$13,入力!$B$11))</f>
        <v>0.01</v>
      </c>
      <c r="D60" s="24" t="n">
        <f aca="false">H59</f>
        <v>67018619.0701211</v>
      </c>
      <c r="E60" s="24" t="n">
        <f aca="false">-PMT(C60/12,420-A60+1,D60)</f>
        <v>214537.131191881</v>
      </c>
      <c r="F60" s="24" t="n">
        <f aca="false">D60*C60/12</f>
        <v>55848.8492251009</v>
      </c>
      <c r="G60" s="24" t="n">
        <f aca="false">E60-F60</f>
        <v>158688.28196678</v>
      </c>
      <c r="H60" s="24" t="n">
        <f aca="false">D60-G60</f>
        <v>66859930.7881543</v>
      </c>
    </row>
    <row r="61" customFormat="false" ht="15" hidden="false" customHeight="false" outlineLevel="0" collapsed="false">
      <c r="A61" s="22" t="n">
        <v>60</v>
      </c>
      <c r="B61" s="22" t="n">
        <f aca="false">INT((A61-1)/12)+1</f>
        <v>5</v>
      </c>
      <c r="C61" s="23" t="n">
        <f aca="false">IF(B61&gt;=入力!$B$14,入力!$B$15,IF(B61&gt;=入力!$B$12,入力!$B$13,入力!$B$11))</f>
        <v>0.01</v>
      </c>
      <c r="D61" s="24" t="n">
        <f aca="false">H60</f>
        <v>66859930.7881543</v>
      </c>
      <c r="E61" s="24" t="n">
        <f aca="false">-PMT(C61/12,420-A61+1,D61)</f>
        <v>214537.131191881</v>
      </c>
      <c r="F61" s="24" t="n">
        <f aca="false">D61*C61/12</f>
        <v>55716.6089901286</v>
      </c>
      <c r="G61" s="24" t="n">
        <f aca="false">E61-F61</f>
        <v>158820.522201752</v>
      </c>
      <c r="H61" s="24" t="n">
        <f aca="false">D61-G61</f>
        <v>66701110.2659526</v>
      </c>
    </row>
    <row r="62" customFormat="false" ht="15" hidden="false" customHeight="false" outlineLevel="0" collapsed="false">
      <c r="A62" s="22" t="n">
        <v>61</v>
      </c>
      <c r="B62" s="22" t="n">
        <f aca="false">INT((A62-1)/12)+1</f>
        <v>6</v>
      </c>
      <c r="C62" s="23" t="n">
        <f aca="false">IF(B62&gt;=入力!$B$14,入力!$B$15,IF(B62&gt;=入力!$B$12,入力!$B$13,入力!$B$11))</f>
        <v>0.015</v>
      </c>
      <c r="D62" s="24" t="n">
        <f aca="false">H61</f>
        <v>66701110.2659526</v>
      </c>
      <c r="E62" s="24" t="n">
        <f aca="false">-PMT(C62/12,420-A62+1,D62)</f>
        <v>230199.012127429</v>
      </c>
      <c r="F62" s="24" t="n">
        <f aca="false">D62*C62/12</f>
        <v>83376.3878324407</v>
      </c>
      <c r="G62" s="24" t="n">
        <f aca="false">E62-F62</f>
        <v>146822.624294989</v>
      </c>
      <c r="H62" s="24" t="n">
        <f aca="false">D62-G62</f>
        <v>66554287.6416576</v>
      </c>
    </row>
    <row r="63" customFormat="false" ht="15" hidden="false" customHeight="false" outlineLevel="0" collapsed="false">
      <c r="A63" s="22" t="n">
        <v>62</v>
      </c>
      <c r="B63" s="22" t="n">
        <f aca="false">INT((A63-1)/12)+1</f>
        <v>6</v>
      </c>
      <c r="C63" s="23" t="n">
        <f aca="false">IF(B63&gt;=入力!$B$14,入力!$B$15,IF(B63&gt;=入力!$B$12,入力!$B$13,入力!$B$11))</f>
        <v>0.015</v>
      </c>
      <c r="D63" s="24" t="n">
        <f aca="false">H62</f>
        <v>66554287.6416576</v>
      </c>
      <c r="E63" s="24" t="n">
        <f aca="false">-PMT(C63/12,420-A63+1,D63)</f>
        <v>230199.012127429</v>
      </c>
      <c r="F63" s="24" t="n">
        <f aca="false">D63*C63/12</f>
        <v>83192.859552072</v>
      </c>
      <c r="G63" s="24" t="n">
        <f aca="false">E63-F63</f>
        <v>147006.152575357</v>
      </c>
      <c r="H63" s="24" t="n">
        <f aca="false">D63-G63</f>
        <v>66407281.4890822</v>
      </c>
    </row>
    <row r="64" customFormat="false" ht="15" hidden="false" customHeight="false" outlineLevel="0" collapsed="false">
      <c r="A64" s="22" t="n">
        <v>63</v>
      </c>
      <c r="B64" s="22" t="n">
        <f aca="false">INT((A64-1)/12)+1</f>
        <v>6</v>
      </c>
      <c r="C64" s="23" t="n">
        <f aca="false">IF(B64&gt;=入力!$B$14,入力!$B$15,IF(B64&gt;=入力!$B$12,入力!$B$13,入力!$B$11))</f>
        <v>0.015</v>
      </c>
      <c r="D64" s="24" t="n">
        <f aca="false">H63</f>
        <v>66407281.4890822</v>
      </c>
      <c r="E64" s="24" t="n">
        <f aca="false">-PMT(C64/12,420-A64+1,D64)</f>
        <v>230199.012127429</v>
      </c>
      <c r="F64" s="24" t="n">
        <f aca="false">D64*C64/12</f>
        <v>83009.1018613528</v>
      </c>
      <c r="G64" s="24" t="n">
        <f aca="false">E64-F64</f>
        <v>147189.910266077</v>
      </c>
      <c r="H64" s="24" t="n">
        <f aca="false">D64-G64</f>
        <v>66260091.5788162</v>
      </c>
    </row>
    <row r="65" customFormat="false" ht="15" hidden="false" customHeight="false" outlineLevel="0" collapsed="false">
      <c r="A65" s="22" t="n">
        <v>64</v>
      </c>
      <c r="B65" s="22" t="n">
        <f aca="false">INT((A65-1)/12)+1</f>
        <v>6</v>
      </c>
      <c r="C65" s="23" t="n">
        <f aca="false">IF(B65&gt;=入力!$B$14,入力!$B$15,IF(B65&gt;=入力!$B$12,入力!$B$13,入力!$B$11))</f>
        <v>0.015</v>
      </c>
      <c r="D65" s="24" t="n">
        <f aca="false">H64</f>
        <v>66260091.5788162</v>
      </c>
      <c r="E65" s="24" t="n">
        <f aca="false">-PMT(C65/12,420-A65+1,D65)</f>
        <v>230199.012127429</v>
      </c>
      <c r="F65" s="24" t="n">
        <f aca="false">D65*C65/12</f>
        <v>82825.1144735202</v>
      </c>
      <c r="G65" s="24" t="n">
        <f aca="false">E65-F65</f>
        <v>147373.897653909</v>
      </c>
      <c r="H65" s="24" t="n">
        <f aca="false">D65-G65</f>
        <v>66112717.6811622</v>
      </c>
    </row>
    <row r="66" customFormat="false" ht="15" hidden="false" customHeight="false" outlineLevel="0" collapsed="false">
      <c r="A66" s="22" t="n">
        <v>65</v>
      </c>
      <c r="B66" s="22" t="n">
        <f aca="false">INT((A66-1)/12)+1</f>
        <v>6</v>
      </c>
      <c r="C66" s="23" t="n">
        <f aca="false">IF(B66&gt;=入力!$B$14,入力!$B$15,IF(B66&gt;=入力!$B$12,入力!$B$13,入力!$B$11))</f>
        <v>0.015</v>
      </c>
      <c r="D66" s="24" t="n">
        <f aca="false">H65</f>
        <v>66112717.6811622</v>
      </c>
      <c r="E66" s="24" t="n">
        <f aca="false">-PMT(C66/12,420-A66+1,D66)</f>
        <v>230199.012127429</v>
      </c>
      <c r="F66" s="24" t="n">
        <f aca="false">D66*C66/12</f>
        <v>82640.8971014528</v>
      </c>
      <c r="G66" s="24" t="n">
        <f aca="false">E66-F66</f>
        <v>147558.115025977</v>
      </c>
      <c r="H66" s="24" t="n">
        <f aca="false">D66-G66</f>
        <v>65965159.5661363</v>
      </c>
    </row>
    <row r="67" customFormat="false" ht="15" hidden="false" customHeight="false" outlineLevel="0" collapsed="false">
      <c r="A67" s="22" t="n">
        <v>66</v>
      </c>
      <c r="B67" s="22" t="n">
        <f aca="false">INT((A67-1)/12)+1</f>
        <v>6</v>
      </c>
      <c r="C67" s="23" t="n">
        <f aca="false">IF(B67&gt;=入力!$B$14,入力!$B$15,IF(B67&gt;=入力!$B$12,入力!$B$13,入力!$B$11))</f>
        <v>0.015</v>
      </c>
      <c r="D67" s="24" t="n">
        <f aca="false">H66</f>
        <v>65965159.5661363</v>
      </c>
      <c r="E67" s="24" t="n">
        <f aca="false">-PMT(C67/12,420-A67+1,D67)</f>
        <v>230199.012127429</v>
      </c>
      <c r="F67" s="24" t="n">
        <f aca="false">D67*C67/12</f>
        <v>82456.4494576703</v>
      </c>
      <c r="G67" s="24" t="n">
        <f aca="false">E67-F67</f>
        <v>147742.562669759</v>
      </c>
      <c r="H67" s="24" t="n">
        <f aca="false">D67-G67</f>
        <v>65817417.0034665</v>
      </c>
    </row>
    <row r="68" customFormat="false" ht="15" hidden="false" customHeight="false" outlineLevel="0" collapsed="false">
      <c r="A68" s="22" t="n">
        <v>67</v>
      </c>
      <c r="B68" s="22" t="n">
        <f aca="false">INT((A68-1)/12)+1</f>
        <v>6</v>
      </c>
      <c r="C68" s="23" t="n">
        <f aca="false">IF(B68&gt;=入力!$B$14,入力!$B$15,IF(B68&gt;=入力!$B$12,入力!$B$13,入力!$B$11))</f>
        <v>0.015</v>
      </c>
      <c r="D68" s="24" t="n">
        <f aca="false">H67</f>
        <v>65817417.0034665</v>
      </c>
      <c r="E68" s="24" t="n">
        <f aca="false">-PMT(C68/12,420-A68+1,D68)</f>
        <v>230199.012127429</v>
      </c>
      <c r="F68" s="24" t="n">
        <f aca="false">D68*C68/12</f>
        <v>82271.7712543331</v>
      </c>
      <c r="G68" s="24" t="n">
        <f aca="false">E68-F68</f>
        <v>147927.240873096</v>
      </c>
      <c r="H68" s="24" t="n">
        <f aca="false">D68-G68</f>
        <v>65669489.7625934</v>
      </c>
    </row>
    <row r="69" customFormat="false" ht="15" hidden="false" customHeight="false" outlineLevel="0" collapsed="false">
      <c r="A69" s="22" t="n">
        <v>68</v>
      </c>
      <c r="B69" s="22" t="n">
        <f aca="false">INT((A69-1)/12)+1</f>
        <v>6</v>
      </c>
      <c r="C69" s="23" t="n">
        <f aca="false">IF(B69&gt;=入力!$B$14,入力!$B$15,IF(B69&gt;=入力!$B$12,入力!$B$13,入力!$B$11))</f>
        <v>0.015</v>
      </c>
      <c r="D69" s="24" t="n">
        <f aca="false">H68</f>
        <v>65669489.7625934</v>
      </c>
      <c r="E69" s="24" t="n">
        <f aca="false">-PMT(C69/12,420-A69+1,D69)</f>
        <v>230199.012127429</v>
      </c>
      <c r="F69" s="24" t="n">
        <f aca="false">D69*C69/12</f>
        <v>82086.8622032418</v>
      </c>
      <c r="G69" s="24" t="n">
        <f aca="false">E69-F69</f>
        <v>148112.149924188</v>
      </c>
      <c r="H69" s="24" t="n">
        <f aca="false">D69-G69</f>
        <v>65521377.6126692</v>
      </c>
    </row>
    <row r="70" customFormat="false" ht="15" hidden="false" customHeight="false" outlineLevel="0" collapsed="false">
      <c r="A70" s="22" t="n">
        <v>69</v>
      </c>
      <c r="B70" s="22" t="n">
        <f aca="false">INT((A70-1)/12)+1</f>
        <v>6</v>
      </c>
      <c r="C70" s="23" t="n">
        <f aca="false">IF(B70&gt;=入力!$B$14,入力!$B$15,IF(B70&gt;=入力!$B$12,入力!$B$13,入力!$B$11))</f>
        <v>0.015</v>
      </c>
      <c r="D70" s="24" t="n">
        <f aca="false">H69</f>
        <v>65521377.6126692</v>
      </c>
      <c r="E70" s="24" t="n">
        <f aca="false">-PMT(C70/12,420-A70+1,D70)</f>
        <v>230199.012127429</v>
      </c>
      <c r="F70" s="24" t="n">
        <f aca="false">D70*C70/12</f>
        <v>81901.7220158365</v>
      </c>
      <c r="G70" s="24" t="n">
        <f aca="false">E70-F70</f>
        <v>148297.290111593</v>
      </c>
      <c r="H70" s="24" t="n">
        <f aca="false">D70-G70</f>
        <v>65373080.3225576</v>
      </c>
    </row>
    <row r="71" customFormat="false" ht="15" hidden="false" customHeight="false" outlineLevel="0" collapsed="false">
      <c r="A71" s="22" t="n">
        <v>70</v>
      </c>
      <c r="B71" s="22" t="n">
        <f aca="false">INT((A71-1)/12)+1</f>
        <v>6</v>
      </c>
      <c r="C71" s="23" t="n">
        <f aca="false">IF(B71&gt;=入力!$B$14,入力!$B$15,IF(B71&gt;=入力!$B$12,入力!$B$13,入力!$B$11))</f>
        <v>0.015</v>
      </c>
      <c r="D71" s="24" t="n">
        <f aca="false">H70</f>
        <v>65373080.3225576</v>
      </c>
      <c r="E71" s="24" t="n">
        <f aca="false">-PMT(C71/12,420-A71+1,D71)</f>
        <v>230199.012127429</v>
      </c>
      <c r="F71" s="24" t="n">
        <f aca="false">D71*C71/12</f>
        <v>81716.350403197</v>
      </c>
      <c r="G71" s="24" t="n">
        <f aca="false">E71-F71</f>
        <v>148482.661724232</v>
      </c>
      <c r="H71" s="24" t="n">
        <f aca="false">D71-G71</f>
        <v>65224597.6608334</v>
      </c>
    </row>
    <row r="72" customFormat="false" ht="15" hidden="false" customHeight="false" outlineLevel="0" collapsed="false">
      <c r="A72" s="22" t="n">
        <v>71</v>
      </c>
      <c r="B72" s="22" t="n">
        <f aca="false">INT((A72-1)/12)+1</f>
        <v>6</v>
      </c>
      <c r="C72" s="23" t="n">
        <f aca="false">IF(B72&gt;=入力!$B$14,入力!$B$15,IF(B72&gt;=入力!$B$12,入力!$B$13,入力!$B$11))</f>
        <v>0.015</v>
      </c>
      <c r="D72" s="24" t="n">
        <f aca="false">H71</f>
        <v>65224597.6608334</v>
      </c>
      <c r="E72" s="24" t="n">
        <f aca="false">-PMT(C72/12,420-A72+1,D72)</f>
        <v>230199.012127429</v>
      </c>
      <c r="F72" s="24" t="n">
        <f aca="false">D72*C72/12</f>
        <v>81530.7470760418</v>
      </c>
      <c r="G72" s="24" t="n">
        <f aca="false">E72-F72</f>
        <v>148668.265051388</v>
      </c>
      <c r="H72" s="24" t="n">
        <f aca="false">D72-G72</f>
        <v>65075929.395782</v>
      </c>
    </row>
    <row r="73" customFormat="false" ht="15" hidden="false" customHeight="false" outlineLevel="0" collapsed="false">
      <c r="A73" s="22" t="n">
        <v>72</v>
      </c>
      <c r="B73" s="22" t="n">
        <f aca="false">INT((A73-1)/12)+1</f>
        <v>6</v>
      </c>
      <c r="C73" s="23" t="n">
        <f aca="false">IF(B73&gt;=入力!$B$14,入力!$B$15,IF(B73&gt;=入力!$B$12,入力!$B$13,入力!$B$11))</f>
        <v>0.015</v>
      </c>
      <c r="D73" s="24" t="n">
        <f aca="false">H72</f>
        <v>65075929.395782</v>
      </c>
      <c r="E73" s="24" t="n">
        <f aca="false">-PMT(C73/12,420-A73+1,D73)</f>
        <v>230199.012127429</v>
      </c>
      <c r="F73" s="24" t="n">
        <f aca="false">D73*C73/12</f>
        <v>81344.9117447275</v>
      </c>
      <c r="G73" s="24" t="n">
        <f aca="false">E73-F73</f>
        <v>148854.100382702</v>
      </c>
      <c r="H73" s="24" t="n">
        <f aca="false">D73-G73</f>
        <v>64927075.2953993</v>
      </c>
    </row>
    <row r="74" customFormat="false" ht="15" hidden="false" customHeight="false" outlineLevel="0" collapsed="false">
      <c r="A74" s="22" t="n">
        <v>73</v>
      </c>
      <c r="B74" s="22" t="n">
        <f aca="false">INT((A74-1)/12)+1</f>
        <v>7</v>
      </c>
      <c r="C74" s="23" t="n">
        <f aca="false">IF(B74&gt;=入力!$B$14,入力!$B$15,IF(B74&gt;=入力!$B$12,入力!$B$13,入力!$B$11))</f>
        <v>0.015</v>
      </c>
      <c r="D74" s="24" t="n">
        <f aca="false">H73</f>
        <v>64927075.2953993</v>
      </c>
      <c r="E74" s="24" t="n">
        <f aca="false">-PMT(C74/12,420-A74+1,D74)</f>
        <v>230199.012127429</v>
      </c>
      <c r="F74" s="24" t="n">
        <f aca="false">D74*C74/12</f>
        <v>81158.8441192491</v>
      </c>
      <c r="G74" s="24" t="n">
        <f aca="false">E74-F74</f>
        <v>149040.16800818</v>
      </c>
      <c r="H74" s="24" t="n">
        <f aca="false">D74-G74</f>
        <v>64778035.1273911</v>
      </c>
    </row>
    <row r="75" customFormat="false" ht="15" hidden="false" customHeight="false" outlineLevel="0" collapsed="false">
      <c r="A75" s="22" t="n">
        <v>74</v>
      </c>
      <c r="B75" s="22" t="n">
        <f aca="false">INT((A75-1)/12)+1</f>
        <v>7</v>
      </c>
      <c r="C75" s="23" t="n">
        <f aca="false">IF(B75&gt;=入力!$B$14,入力!$B$15,IF(B75&gt;=入力!$B$12,入力!$B$13,入力!$B$11))</f>
        <v>0.015</v>
      </c>
      <c r="D75" s="24" t="n">
        <f aca="false">H74</f>
        <v>64778035.1273911</v>
      </c>
      <c r="E75" s="24" t="n">
        <f aca="false">-PMT(C75/12,420-A75+1,D75)</f>
        <v>230199.012127429</v>
      </c>
      <c r="F75" s="24" t="n">
        <f aca="false">D75*C75/12</f>
        <v>80972.5439092389</v>
      </c>
      <c r="G75" s="24" t="n">
        <f aca="false">E75-F75</f>
        <v>149226.46821819</v>
      </c>
      <c r="H75" s="24" t="n">
        <f aca="false">D75-G75</f>
        <v>64628808.6591729</v>
      </c>
    </row>
    <row r="76" customFormat="false" ht="15" hidden="false" customHeight="false" outlineLevel="0" collapsed="false">
      <c r="A76" s="22" t="n">
        <v>75</v>
      </c>
      <c r="B76" s="22" t="n">
        <f aca="false">INT((A76-1)/12)+1</f>
        <v>7</v>
      </c>
      <c r="C76" s="23" t="n">
        <f aca="false">IF(B76&gt;=入力!$B$14,入力!$B$15,IF(B76&gt;=入力!$B$12,入力!$B$13,入力!$B$11))</f>
        <v>0.015</v>
      </c>
      <c r="D76" s="24" t="n">
        <f aca="false">H75</f>
        <v>64628808.6591729</v>
      </c>
      <c r="E76" s="24" t="n">
        <f aca="false">-PMT(C76/12,420-A76+1,D76)</f>
        <v>230199.012127429</v>
      </c>
      <c r="F76" s="24" t="n">
        <f aca="false">D76*C76/12</f>
        <v>80786.0108239662</v>
      </c>
      <c r="G76" s="24" t="n">
        <f aca="false">E76-F76</f>
        <v>149413.001303463</v>
      </c>
      <c r="H76" s="24" t="n">
        <f aca="false">D76-G76</f>
        <v>64479395.6578695</v>
      </c>
    </row>
    <row r="77" customFormat="false" ht="15" hidden="false" customHeight="false" outlineLevel="0" collapsed="false">
      <c r="A77" s="22" t="n">
        <v>76</v>
      </c>
      <c r="B77" s="22" t="n">
        <f aca="false">INT((A77-1)/12)+1</f>
        <v>7</v>
      </c>
      <c r="C77" s="23" t="n">
        <f aca="false">IF(B77&gt;=入力!$B$14,入力!$B$15,IF(B77&gt;=入力!$B$12,入力!$B$13,入力!$B$11))</f>
        <v>0.015</v>
      </c>
      <c r="D77" s="24" t="n">
        <f aca="false">H76</f>
        <v>64479395.6578695</v>
      </c>
      <c r="E77" s="24" t="n">
        <f aca="false">-PMT(C77/12,420-A77+1,D77)</f>
        <v>230199.012127429</v>
      </c>
      <c r="F77" s="24" t="n">
        <f aca="false">D77*C77/12</f>
        <v>80599.2445723368</v>
      </c>
      <c r="G77" s="24" t="n">
        <f aca="false">E77-F77</f>
        <v>149599.767555092</v>
      </c>
      <c r="H77" s="24" t="n">
        <f aca="false">D77-G77</f>
        <v>64329795.8903144</v>
      </c>
    </row>
    <row r="78" customFormat="false" ht="15" hidden="false" customHeight="false" outlineLevel="0" collapsed="false">
      <c r="A78" s="22" t="n">
        <v>77</v>
      </c>
      <c r="B78" s="22" t="n">
        <f aca="false">INT((A78-1)/12)+1</f>
        <v>7</v>
      </c>
      <c r="C78" s="23" t="n">
        <f aca="false">IF(B78&gt;=入力!$B$14,入力!$B$15,IF(B78&gt;=入力!$B$12,入力!$B$13,入力!$B$11))</f>
        <v>0.015</v>
      </c>
      <c r="D78" s="24" t="n">
        <f aca="false">H77</f>
        <v>64329795.8903144</v>
      </c>
      <c r="E78" s="24" t="n">
        <f aca="false">-PMT(C78/12,420-A78+1,D78)</f>
        <v>230199.012127429</v>
      </c>
      <c r="F78" s="24" t="n">
        <f aca="false">D78*C78/12</f>
        <v>80412.244862893</v>
      </c>
      <c r="G78" s="24" t="n">
        <f aca="false">E78-F78</f>
        <v>149786.767264536</v>
      </c>
      <c r="H78" s="24" t="n">
        <f aca="false">D78-G78</f>
        <v>64180009.1230498</v>
      </c>
    </row>
    <row r="79" customFormat="false" ht="15" hidden="false" customHeight="false" outlineLevel="0" collapsed="false">
      <c r="A79" s="22" t="n">
        <v>78</v>
      </c>
      <c r="B79" s="22" t="n">
        <f aca="false">INT((A79-1)/12)+1</f>
        <v>7</v>
      </c>
      <c r="C79" s="23" t="n">
        <f aca="false">IF(B79&gt;=入力!$B$14,入力!$B$15,IF(B79&gt;=入力!$B$12,入力!$B$13,入力!$B$11))</f>
        <v>0.015</v>
      </c>
      <c r="D79" s="24" t="n">
        <f aca="false">H78</f>
        <v>64180009.1230498</v>
      </c>
      <c r="E79" s="24" t="n">
        <f aca="false">-PMT(C79/12,420-A79+1,D79)</f>
        <v>230199.012127429</v>
      </c>
      <c r="F79" s="24" t="n">
        <f aca="false">D79*C79/12</f>
        <v>80225.0114038123</v>
      </c>
      <c r="G79" s="24" t="n">
        <f aca="false">E79-F79</f>
        <v>149974.000723617</v>
      </c>
      <c r="H79" s="24" t="n">
        <f aca="false">D79-G79</f>
        <v>64030035.1223262</v>
      </c>
    </row>
    <row r="80" customFormat="false" ht="15" hidden="false" customHeight="false" outlineLevel="0" collapsed="false">
      <c r="A80" s="22" t="n">
        <v>79</v>
      </c>
      <c r="B80" s="22" t="n">
        <f aca="false">INT((A80-1)/12)+1</f>
        <v>7</v>
      </c>
      <c r="C80" s="23" t="n">
        <f aca="false">IF(B80&gt;=入力!$B$14,入力!$B$15,IF(B80&gt;=入力!$B$12,入力!$B$13,入力!$B$11))</f>
        <v>0.015</v>
      </c>
      <c r="D80" s="24" t="n">
        <f aca="false">H79</f>
        <v>64030035.1223262</v>
      </c>
      <c r="E80" s="24" t="n">
        <f aca="false">-PMT(C80/12,420-A80+1,D80)</f>
        <v>230199.012127429</v>
      </c>
      <c r="F80" s="24" t="n">
        <f aca="false">D80*C80/12</f>
        <v>80037.5439029078</v>
      </c>
      <c r="G80" s="24" t="n">
        <f aca="false">E80-F80</f>
        <v>150161.468224522</v>
      </c>
      <c r="H80" s="24" t="n">
        <f aca="false">D80-G80</f>
        <v>63879873.6541017</v>
      </c>
    </row>
    <row r="81" customFormat="false" ht="15" hidden="false" customHeight="false" outlineLevel="0" collapsed="false">
      <c r="A81" s="22" t="n">
        <v>80</v>
      </c>
      <c r="B81" s="22" t="n">
        <f aca="false">INT((A81-1)/12)+1</f>
        <v>7</v>
      </c>
      <c r="C81" s="23" t="n">
        <f aca="false">IF(B81&gt;=入力!$B$14,入力!$B$15,IF(B81&gt;=入力!$B$12,入力!$B$13,入力!$B$11))</f>
        <v>0.015</v>
      </c>
      <c r="D81" s="24" t="n">
        <f aca="false">H80</f>
        <v>63879873.6541017</v>
      </c>
      <c r="E81" s="24" t="n">
        <f aca="false">-PMT(C81/12,420-A81+1,D81)</f>
        <v>230199.012127429</v>
      </c>
      <c r="F81" s="24" t="n">
        <f aca="false">D81*C81/12</f>
        <v>79849.8420676271</v>
      </c>
      <c r="G81" s="24" t="n">
        <f aca="false">E81-F81</f>
        <v>150349.170059802</v>
      </c>
      <c r="H81" s="24" t="n">
        <f aca="false">D81-G81</f>
        <v>63729524.4840419</v>
      </c>
    </row>
    <row r="82" customFormat="false" ht="15" hidden="false" customHeight="false" outlineLevel="0" collapsed="false">
      <c r="A82" s="22" t="n">
        <v>81</v>
      </c>
      <c r="B82" s="22" t="n">
        <f aca="false">INT((A82-1)/12)+1</f>
        <v>7</v>
      </c>
      <c r="C82" s="23" t="n">
        <f aca="false">IF(B82&gt;=入力!$B$14,入力!$B$15,IF(B82&gt;=入力!$B$12,入力!$B$13,入力!$B$11))</f>
        <v>0.015</v>
      </c>
      <c r="D82" s="24" t="n">
        <f aca="false">H81</f>
        <v>63729524.4840419</v>
      </c>
      <c r="E82" s="24" t="n">
        <f aca="false">-PMT(C82/12,420-A82+1,D82)</f>
        <v>230199.012127429</v>
      </c>
      <c r="F82" s="24" t="n">
        <f aca="false">D82*C82/12</f>
        <v>79661.9056050524</v>
      </c>
      <c r="G82" s="24" t="n">
        <f aca="false">E82-F82</f>
        <v>150537.106522377</v>
      </c>
      <c r="H82" s="24" t="n">
        <f aca="false">D82-G82</f>
        <v>63578987.3775195</v>
      </c>
    </row>
    <row r="83" customFormat="false" ht="15" hidden="false" customHeight="false" outlineLevel="0" collapsed="false">
      <c r="A83" s="22" t="n">
        <v>82</v>
      </c>
      <c r="B83" s="22" t="n">
        <f aca="false">INT((A83-1)/12)+1</f>
        <v>7</v>
      </c>
      <c r="C83" s="23" t="n">
        <f aca="false">IF(B83&gt;=入力!$B$14,入力!$B$15,IF(B83&gt;=入力!$B$12,入力!$B$13,入力!$B$11))</f>
        <v>0.015</v>
      </c>
      <c r="D83" s="24" t="n">
        <f aca="false">H82</f>
        <v>63578987.3775195</v>
      </c>
      <c r="E83" s="24" t="n">
        <f aca="false">-PMT(C83/12,420-A83+1,D83)</f>
        <v>230199.012127429</v>
      </c>
      <c r="F83" s="24" t="n">
        <f aca="false">D83*C83/12</f>
        <v>79473.7342218994</v>
      </c>
      <c r="G83" s="24" t="n">
        <f aca="false">E83-F83</f>
        <v>150725.27790553</v>
      </c>
      <c r="H83" s="24" t="n">
        <f aca="false">D83-G83</f>
        <v>63428262.099614</v>
      </c>
    </row>
    <row r="84" customFormat="false" ht="15" hidden="false" customHeight="false" outlineLevel="0" collapsed="false">
      <c r="A84" s="22" t="n">
        <v>83</v>
      </c>
      <c r="B84" s="22" t="n">
        <f aca="false">INT((A84-1)/12)+1</f>
        <v>7</v>
      </c>
      <c r="C84" s="23" t="n">
        <f aca="false">IF(B84&gt;=入力!$B$14,入力!$B$15,IF(B84&gt;=入力!$B$12,入力!$B$13,入力!$B$11))</f>
        <v>0.015</v>
      </c>
      <c r="D84" s="24" t="n">
        <f aca="false">H83</f>
        <v>63428262.099614</v>
      </c>
      <c r="E84" s="24" t="n">
        <f aca="false">-PMT(C84/12,420-A84+1,D84)</f>
        <v>230199.012127429</v>
      </c>
      <c r="F84" s="24" t="n">
        <f aca="false">D84*C84/12</f>
        <v>79285.3276245175</v>
      </c>
      <c r="G84" s="24" t="n">
        <f aca="false">E84-F84</f>
        <v>150913.684502912</v>
      </c>
      <c r="H84" s="24" t="n">
        <f aca="false">D84-G84</f>
        <v>63277348.4151111</v>
      </c>
    </row>
    <row r="85" customFormat="false" ht="15" hidden="false" customHeight="false" outlineLevel="0" collapsed="false">
      <c r="A85" s="22" t="n">
        <v>84</v>
      </c>
      <c r="B85" s="22" t="n">
        <f aca="false">INT((A85-1)/12)+1</f>
        <v>7</v>
      </c>
      <c r="C85" s="23" t="n">
        <f aca="false">IF(B85&gt;=入力!$B$14,入力!$B$15,IF(B85&gt;=入力!$B$12,入力!$B$13,入力!$B$11))</f>
        <v>0.015</v>
      </c>
      <c r="D85" s="24" t="n">
        <f aca="false">H84</f>
        <v>63277348.4151111</v>
      </c>
      <c r="E85" s="24" t="n">
        <f aca="false">-PMT(C85/12,420-A85+1,D85)</f>
        <v>230199.012127429</v>
      </c>
      <c r="F85" s="24" t="n">
        <f aca="false">D85*C85/12</f>
        <v>79096.6855188889</v>
      </c>
      <c r="G85" s="24" t="n">
        <f aca="false">E85-F85</f>
        <v>151102.326608541</v>
      </c>
      <c r="H85" s="24" t="n">
        <f aca="false">D85-G85</f>
        <v>63126246.0885026</v>
      </c>
    </row>
    <row r="86" customFormat="false" ht="15" hidden="false" customHeight="false" outlineLevel="0" collapsed="false">
      <c r="A86" s="22" t="n">
        <v>85</v>
      </c>
      <c r="B86" s="22" t="n">
        <f aca="false">INT((A86-1)/12)+1</f>
        <v>8</v>
      </c>
      <c r="C86" s="23" t="n">
        <f aca="false">IF(B86&gt;=入力!$B$14,入力!$B$15,IF(B86&gt;=入力!$B$12,入力!$B$13,入力!$B$11))</f>
        <v>0.015</v>
      </c>
      <c r="D86" s="24" t="n">
        <f aca="false">H85</f>
        <v>63126246.0885026</v>
      </c>
      <c r="E86" s="24" t="n">
        <f aca="false">-PMT(C86/12,420-A86+1,D86)</f>
        <v>230199.012127429</v>
      </c>
      <c r="F86" s="24" t="n">
        <f aca="false">D86*C86/12</f>
        <v>78907.8076106282</v>
      </c>
      <c r="G86" s="24" t="n">
        <f aca="false">E86-F86</f>
        <v>151291.204516801</v>
      </c>
      <c r="H86" s="24" t="n">
        <f aca="false">D86-G86</f>
        <v>62974954.8839858</v>
      </c>
    </row>
    <row r="87" customFormat="false" ht="15" hidden="false" customHeight="false" outlineLevel="0" collapsed="false">
      <c r="A87" s="22" t="n">
        <v>86</v>
      </c>
      <c r="B87" s="22" t="n">
        <f aca="false">INT((A87-1)/12)+1</f>
        <v>8</v>
      </c>
      <c r="C87" s="23" t="n">
        <f aca="false">IF(B87&gt;=入力!$B$14,入力!$B$15,IF(B87&gt;=入力!$B$12,入力!$B$13,入力!$B$11))</f>
        <v>0.015</v>
      </c>
      <c r="D87" s="24" t="n">
        <f aca="false">H86</f>
        <v>62974954.8839858</v>
      </c>
      <c r="E87" s="24" t="n">
        <f aca="false">-PMT(C87/12,420-A87+1,D87)</f>
        <v>230199.012127429</v>
      </c>
      <c r="F87" s="24" t="n">
        <f aca="false">D87*C87/12</f>
        <v>78718.6936049822</v>
      </c>
      <c r="G87" s="24" t="n">
        <f aca="false">E87-F87</f>
        <v>151480.318522447</v>
      </c>
      <c r="H87" s="24" t="n">
        <f aca="false">D87-G87</f>
        <v>62823474.5654633</v>
      </c>
    </row>
    <row r="88" customFormat="false" ht="15" hidden="false" customHeight="false" outlineLevel="0" collapsed="false">
      <c r="A88" s="22" t="n">
        <v>87</v>
      </c>
      <c r="B88" s="22" t="n">
        <f aca="false">INT((A88-1)/12)+1</f>
        <v>8</v>
      </c>
      <c r="C88" s="23" t="n">
        <f aca="false">IF(B88&gt;=入力!$B$14,入力!$B$15,IF(B88&gt;=入力!$B$12,入力!$B$13,入力!$B$11))</f>
        <v>0.015</v>
      </c>
      <c r="D88" s="24" t="n">
        <f aca="false">H87</f>
        <v>62823474.5654633</v>
      </c>
      <c r="E88" s="24" t="n">
        <f aca="false">-PMT(C88/12,420-A88+1,D88)</f>
        <v>230199.012127429</v>
      </c>
      <c r="F88" s="24" t="n">
        <f aca="false">D88*C88/12</f>
        <v>78529.3432068291</v>
      </c>
      <c r="G88" s="24" t="n">
        <f aca="false">E88-F88</f>
        <v>151669.6689206</v>
      </c>
      <c r="H88" s="24" t="n">
        <f aca="false">D88-G88</f>
        <v>62671804.8965427</v>
      </c>
    </row>
    <row r="89" customFormat="false" ht="15" hidden="false" customHeight="false" outlineLevel="0" collapsed="false">
      <c r="A89" s="22" t="n">
        <v>88</v>
      </c>
      <c r="B89" s="22" t="n">
        <f aca="false">INT((A89-1)/12)+1</f>
        <v>8</v>
      </c>
      <c r="C89" s="23" t="n">
        <f aca="false">IF(B89&gt;=入力!$B$14,入力!$B$15,IF(B89&gt;=入力!$B$12,入力!$B$13,入力!$B$11))</f>
        <v>0.015</v>
      </c>
      <c r="D89" s="24" t="n">
        <f aca="false">H88</f>
        <v>62671804.8965427</v>
      </c>
      <c r="E89" s="24" t="n">
        <f aca="false">-PMT(C89/12,420-A89+1,D89)</f>
        <v>230199.012127429</v>
      </c>
      <c r="F89" s="24" t="n">
        <f aca="false">D89*C89/12</f>
        <v>78339.7561206784</v>
      </c>
      <c r="G89" s="24" t="n">
        <f aca="false">E89-F89</f>
        <v>151859.256006751</v>
      </c>
      <c r="H89" s="24" t="n">
        <f aca="false">D89-G89</f>
        <v>62519945.640536</v>
      </c>
    </row>
    <row r="90" customFormat="false" ht="15" hidden="false" customHeight="false" outlineLevel="0" collapsed="false">
      <c r="A90" s="22" t="n">
        <v>89</v>
      </c>
      <c r="B90" s="22" t="n">
        <f aca="false">INT((A90-1)/12)+1</f>
        <v>8</v>
      </c>
      <c r="C90" s="23" t="n">
        <f aca="false">IF(B90&gt;=入力!$B$14,入力!$B$15,IF(B90&gt;=入力!$B$12,入力!$B$13,入力!$B$11))</f>
        <v>0.015</v>
      </c>
      <c r="D90" s="24" t="n">
        <f aca="false">H89</f>
        <v>62519945.640536</v>
      </c>
      <c r="E90" s="24" t="n">
        <f aca="false">-PMT(C90/12,420-A90+1,D90)</f>
        <v>230199.012127429</v>
      </c>
      <c r="F90" s="24" t="n">
        <f aca="false">D90*C90/12</f>
        <v>78149.9320506699</v>
      </c>
      <c r="G90" s="24" t="n">
        <f aca="false">E90-F90</f>
        <v>152049.080076759</v>
      </c>
      <c r="H90" s="24" t="n">
        <f aca="false">D90-G90</f>
        <v>62367896.5604592</v>
      </c>
    </row>
    <row r="91" customFormat="false" ht="15" hidden="false" customHeight="false" outlineLevel="0" collapsed="false">
      <c r="A91" s="22" t="n">
        <v>90</v>
      </c>
      <c r="B91" s="22" t="n">
        <f aca="false">INT((A91-1)/12)+1</f>
        <v>8</v>
      </c>
      <c r="C91" s="23" t="n">
        <f aca="false">IF(B91&gt;=入力!$B$14,入力!$B$15,IF(B91&gt;=入力!$B$12,入力!$B$13,入力!$B$11))</f>
        <v>0.015</v>
      </c>
      <c r="D91" s="24" t="n">
        <f aca="false">H90</f>
        <v>62367896.5604592</v>
      </c>
      <c r="E91" s="24" t="n">
        <f aca="false">-PMT(C91/12,420-A91+1,D91)</f>
        <v>230199.012127429</v>
      </c>
      <c r="F91" s="24" t="n">
        <f aca="false">D91*C91/12</f>
        <v>77959.870700574</v>
      </c>
      <c r="G91" s="24" t="n">
        <f aca="false">E91-F91</f>
        <v>152239.141426855</v>
      </c>
      <c r="H91" s="24" t="n">
        <f aca="false">D91-G91</f>
        <v>62215657.4190323</v>
      </c>
    </row>
    <row r="92" customFormat="false" ht="15" hidden="false" customHeight="false" outlineLevel="0" collapsed="false">
      <c r="A92" s="22" t="n">
        <v>91</v>
      </c>
      <c r="B92" s="22" t="n">
        <f aca="false">INT((A92-1)/12)+1</f>
        <v>8</v>
      </c>
      <c r="C92" s="23" t="n">
        <f aca="false">IF(B92&gt;=入力!$B$14,入力!$B$15,IF(B92&gt;=入力!$B$12,入力!$B$13,入力!$B$11))</f>
        <v>0.015</v>
      </c>
      <c r="D92" s="24" t="n">
        <f aca="false">H91</f>
        <v>62215657.4190323</v>
      </c>
      <c r="E92" s="24" t="n">
        <f aca="false">-PMT(C92/12,420-A92+1,D92)</f>
        <v>230199.012127429</v>
      </c>
      <c r="F92" s="24" t="n">
        <f aca="false">D92*C92/12</f>
        <v>77769.5717737904</v>
      </c>
      <c r="G92" s="24" t="n">
        <f aca="false">E92-F92</f>
        <v>152429.440353639</v>
      </c>
      <c r="H92" s="24" t="n">
        <f aca="false">D92-G92</f>
        <v>62063227.9786787</v>
      </c>
    </row>
    <row r="93" customFormat="false" ht="15" hidden="false" customHeight="false" outlineLevel="0" collapsed="false">
      <c r="A93" s="22" t="n">
        <v>92</v>
      </c>
      <c r="B93" s="22" t="n">
        <f aca="false">INT((A93-1)/12)+1</f>
        <v>8</v>
      </c>
      <c r="C93" s="23" t="n">
        <f aca="false">IF(B93&gt;=入力!$B$14,入力!$B$15,IF(B93&gt;=入力!$B$12,入力!$B$13,入力!$B$11))</f>
        <v>0.015</v>
      </c>
      <c r="D93" s="24" t="n">
        <f aca="false">H92</f>
        <v>62063227.9786787</v>
      </c>
      <c r="E93" s="24" t="n">
        <f aca="false">-PMT(C93/12,420-A93+1,D93)</f>
        <v>230199.012127429</v>
      </c>
      <c r="F93" s="24" t="n">
        <f aca="false">D93*C93/12</f>
        <v>77579.0349733484</v>
      </c>
      <c r="G93" s="24" t="n">
        <f aca="false">E93-F93</f>
        <v>152619.977154081</v>
      </c>
      <c r="H93" s="24" t="n">
        <f aca="false">D93-G93</f>
        <v>61910608.0015246</v>
      </c>
    </row>
    <row r="94" customFormat="false" ht="15" hidden="false" customHeight="false" outlineLevel="0" collapsed="false">
      <c r="A94" s="22" t="n">
        <v>93</v>
      </c>
      <c r="B94" s="22" t="n">
        <f aca="false">INT((A94-1)/12)+1</f>
        <v>8</v>
      </c>
      <c r="C94" s="23" t="n">
        <f aca="false">IF(B94&gt;=入力!$B$14,入力!$B$15,IF(B94&gt;=入力!$B$12,入力!$B$13,入力!$B$11))</f>
        <v>0.015</v>
      </c>
      <c r="D94" s="24" t="n">
        <f aca="false">H93</f>
        <v>61910608.0015246</v>
      </c>
      <c r="E94" s="24" t="n">
        <f aca="false">-PMT(C94/12,420-A94+1,D94)</f>
        <v>230199.012127429</v>
      </c>
      <c r="F94" s="24" t="n">
        <f aca="false">D94*C94/12</f>
        <v>77388.2600019058</v>
      </c>
      <c r="G94" s="24" t="n">
        <f aca="false">E94-F94</f>
        <v>152810.752125524</v>
      </c>
      <c r="H94" s="24" t="n">
        <f aca="false">D94-G94</f>
        <v>61757797.2493991</v>
      </c>
    </row>
    <row r="95" customFormat="false" ht="15" hidden="false" customHeight="false" outlineLevel="0" collapsed="false">
      <c r="A95" s="22" t="n">
        <v>94</v>
      </c>
      <c r="B95" s="22" t="n">
        <f aca="false">INT((A95-1)/12)+1</f>
        <v>8</v>
      </c>
      <c r="C95" s="23" t="n">
        <f aca="false">IF(B95&gt;=入力!$B$14,入力!$B$15,IF(B95&gt;=入力!$B$12,入力!$B$13,入力!$B$11))</f>
        <v>0.015</v>
      </c>
      <c r="D95" s="24" t="n">
        <f aca="false">H94</f>
        <v>61757797.2493991</v>
      </c>
      <c r="E95" s="24" t="n">
        <f aca="false">-PMT(C95/12,420-A95+1,D95)</f>
        <v>230199.012127429</v>
      </c>
      <c r="F95" s="24" t="n">
        <f aca="false">D95*C95/12</f>
        <v>77197.2465617489</v>
      </c>
      <c r="G95" s="24" t="n">
        <f aca="false">E95-F95</f>
        <v>153001.76556568</v>
      </c>
      <c r="H95" s="24" t="n">
        <f aca="false">D95-G95</f>
        <v>61604795.4838334</v>
      </c>
    </row>
    <row r="96" customFormat="false" ht="15" hidden="false" customHeight="false" outlineLevel="0" collapsed="false">
      <c r="A96" s="22" t="n">
        <v>95</v>
      </c>
      <c r="B96" s="22" t="n">
        <f aca="false">INT((A96-1)/12)+1</f>
        <v>8</v>
      </c>
      <c r="C96" s="23" t="n">
        <f aca="false">IF(B96&gt;=入力!$B$14,入力!$B$15,IF(B96&gt;=入力!$B$12,入力!$B$13,入力!$B$11))</f>
        <v>0.015</v>
      </c>
      <c r="D96" s="24" t="n">
        <f aca="false">H95</f>
        <v>61604795.4838334</v>
      </c>
      <c r="E96" s="24" t="n">
        <f aca="false">-PMT(C96/12,420-A96+1,D96)</f>
        <v>230199.012127429</v>
      </c>
      <c r="F96" s="24" t="n">
        <f aca="false">D96*C96/12</f>
        <v>77005.9943547918</v>
      </c>
      <c r="G96" s="24" t="n">
        <f aca="false">E96-F96</f>
        <v>153193.017772638</v>
      </c>
      <c r="H96" s="24" t="n">
        <f aca="false">D96-G96</f>
        <v>61451602.4660608</v>
      </c>
    </row>
    <row r="97" customFormat="false" ht="15" hidden="false" customHeight="false" outlineLevel="0" collapsed="false">
      <c r="A97" s="22" t="n">
        <v>96</v>
      </c>
      <c r="B97" s="22" t="n">
        <f aca="false">INT((A97-1)/12)+1</f>
        <v>8</v>
      </c>
      <c r="C97" s="23" t="n">
        <f aca="false">IF(B97&gt;=入力!$B$14,入力!$B$15,IF(B97&gt;=入力!$B$12,入力!$B$13,入力!$B$11))</f>
        <v>0.015</v>
      </c>
      <c r="D97" s="24" t="n">
        <f aca="false">H96</f>
        <v>61451602.4660608</v>
      </c>
      <c r="E97" s="24" t="n">
        <f aca="false">-PMT(C97/12,420-A97+1,D97)</f>
        <v>230199.012127429</v>
      </c>
      <c r="F97" s="24" t="n">
        <f aca="false">D97*C97/12</f>
        <v>76814.503082576</v>
      </c>
      <c r="G97" s="24" t="n">
        <f aca="false">E97-F97</f>
        <v>153384.509044853</v>
      </c>
      <c r="H97" s="24" t="n">
        <f aca="false">D97-G97</f>
        <v>61298217.9570159</v>
      </c>
    </row>
    <row r="98" customFormat="false" ht="15" hidden="false" customHeight="false" outlineLevel="0" collapsed="false">
      <c r="A98" s="22" t="n">
        <v>97</v>
      </c>
      <c r="B98" s="22" t="n">
        <f aca="false">INT((A98-1)/12)+1</f>
        <v>9</v>
      </c>
      <c r="C98" s="23" t="n">
        <f aca="false">IF(B98&gt;=入力!$B$14,入力!$B$15,IF(B98&gt;=入力!$B$12,入力!$B$13,入力!$B$11))</f>
        <v>0.015</v>
      </c>
      <c r="D98" s="24" t="n">
        <f aca="false">H97</f>
        <v>61298217.9570159</v>
      </c>
      <c r="E98" s="24" t="n">
        <f aca="false">-PMT(C98/12,420-A98+1,D98)</f>
        <v>230199.012127429</v>
      </c>
      <c r="F98" s="24" t="n">
        <f aca="false">D98*C98/12</f>
        <v>76622.7724462699</v>
      </c>
      <c r="G98" s="24" t="n">
        <f aca="false">E98-F98</f>
        <v>153576.239681159</v>
      </c>
      <c r="H98" s="24" t="n">
        <f aca="false">D98-G98</f>
        <v>61144641.7173348</v>
      </c>
    </row>
    <row r="99" customFormat="false" ht="15" hidden="false" customHeight="false" outlineLevel="0" collapsed="false">
      <c r="A99" s="22" t="n">
        <v>98</v>
      </c>
      <c r="B99" s="22" t="n">
        <f aca="false">INT((A99-1)/12)+1</f>
        <v>9</v>
      </c>
      <c r="C99" s="23" t="n">
        <f aca="false">IF(B99&gt;=入力!$B$14,入力!$B$15,IF(B99&gt;=入力!$B$12,入力!$B$13,入力!$B$11))</f>
        <v>0.015</v>
      </c>
      <c r="D99" s="24" t="n">
        <f aca="false">H98</f>
        <v>61144641.7173348</v>
      </c>
      <c r="E99" s="24" t="n">
        <f aca="false">-PMT(C99/12,420-A99+1,D99)</f>
        <v>230199.012127429</v>
      </c>
      <c r="F99" s="24" t="n">
        <f aca="false">D99*C99/12</f>
        <v>76430.8021466684</v>
      </c>
      <c r="G99" s="24" t="n">
        <f aca="false">E99-F99</f>
        <v>153768.209980761</v>
      </c>
      <c r="H99" s="24" t="n">
        <f aca="false">D99-G99</f>
        <v>60990873.507354</v>
      </c>
    </row>
    <row r="100" customFormat="false" ht="15" hidden="false" customHeight="false" outlineLevel="0" collapsed="false">
      <c r="A100" s="22" t="n">
        <v>99</v>
      </c>
      <c r="B100" s="22" t="n">
        <f aca="false">INT((A100-1)/12)+1</f>
        <v>9</v>
      </c>
      <c r="C100" s="23" t="n">
        <f aca="false">IF(B100&gt;=入力!$B$14,入力!$B$15,IF(B100&gt;=入力!$B$12,入力!$B$13,入力!$B$11))</f>
        <v>0.015</v>
      </c>
      <c r="D100" s="24" t="n">
        <f aca="false">H99</f>
        <v>60990873.507354</v>
      </c>
      <c r="E100" s="24" t="n">
        <f aca="false">-PMT(C100/12,420-A100+1,D100)</f>
        <v>230199.012127429</v>
      </c>
      <c r="F100" s="24" t="n">
        <f aca="false">D100*C100/12</f>
        <v>76238.5918841925</v>
      </c>
      <c r="G100" s="24" t="n">
        <f aca="false">E100-F100</f>
        <v>153960.420243237</v>
      </c>
      <c r="H100" s="24" t="n">
        <f aca="false">D100-G100</f>
        <v>60836913.0871108</v>
      </c>
    </row>
    <row r="101" customFormat="false" ht="15" hidden="false" customHeight="false" outlineLevel="0" collapsed="false">
      <c r="A101" s="22" t="n">
        <v>100</v>
      </c>
      <c r="B101" s="22" t="n">
        <f aca="false">INT((A101-1)/12)+1</f>
        <v>9</v>
      </c>
      <c r="C101" s="23" t="n">
        <f aca="false">IF(B101&gt;=入力!$B$14,入力!$B$15,IF(B101&gt;=入力!$B$12,入力!$B$13,入力!$B$11))</f>
        <v>0.015</v>
      </c>
      <c r="D101" s="24" t="n">
        <f aca="false">H100</f>
        <v>60836913.0871108</v>
      </c>
      <c r="E101" s="24" t="n">
        <f aca="false">-PMT(C101/12,420-A101+1,D101)</f>
        <v>230199.012127429</v>
      </c>
      <c r="F101" s="24" t="n">
        <f aca="false">D101*C101/12</f>
        <v>76046.1413588885</v>
      </c>
      <c r="G101" s="24" t="n">
        <f aca="false">E101-F101</f>
        <v>154152.870768541</v>
      </c>
      <c r="H101" s="24" t="n">
        <f aca="false">D101-G101</f>
        <v>60682760.2163422</v>
      </c>
    </row>
    <row r="102" customFormat="false" ht="15" hidden="false" customHeight="false" outlineLevel="0" collapsed="false">
      <c r="A102" s="22" t="n">
        <v>101</v>
      </c>
      <c r="B102" s="22" t="n">
        <f aca="false">INT((A102-1)/12)+1</f>
        <v>9</v>
      </c>
      <c r="C102" s="23" t="n">
        <f aca="false">IF(B102&gt;=入力!$B$14,入力!$B$15,IF(B102&gt;=入力!$B$12,入力!$B$13,入力!$B$11))</f>
        <v>0.015</v>
      </c>
      <c r="D102" s="24" t="n">
        <f aca="false">H101</f>
        <v>60682760.2163422</v>
      </c>
      <c r="E102" s="24" t="n">
        <f aca="false">-PMT(C102/12,420-A102+1,D102)</f>
        <v>230199.012127429</v>
      </c>
      <c r="F102" s="24" t="n">
        <f aca="false">D102*C102/12</f>
        <v>75853.4502704278</v>
      </c>
      <c r="G102" s="24" t="n">
        <f aca="false">E102-F102</f>
        <v>154345.561857002</v>
      </c>
      <c r="H102" s="24" t="n">
        <f aca="false">D102-G102</f>
        <v>60528414.6544852</v>
      </c>
    </row>
    <row r="103" customFormat="false" ht="15" hidden="false" customHeight="false" outlineLevel="0" collapsed="false">
      <c r="A103" s="22" t="n">
        <v>102</v>
      </c>
      <c r="B103" s="22" t="n">
        <f aca="false">INT((A103-1)/12)+1</f>
        <v>9</v>
      </c>
      <c r="C103" s="23" t="n">
        <f aca="false">IF(B103&gt;=入力!$B$14,入力!$B$15,IF(B103&gt;=入力!$B$12,入力!$B$13,入力!$B$11))</f>
        <v>0.015</v>
      </c>
      <c r="D103" s="24" t="n">
        <f aca="false">H102</f>
        <v>60528414.6544852</v>
      </c>
      <c r="E103" s="24" t="n">
        <f aca="false">-PMT(C103/12,420-A103+1,D103)</f>
        <v>230199.012127429</v>
      </c>
      <c r="F103" s="24" t="n">
        <f aca="false">D103*C103/12</f>
        <v>75660.5183181065</v>
      </c>
      <c r="G103" s="24" t="n">
        <f aca="false">E103-F103</f>
        <v>154538.493809323</v>
      </c>
      <c r="H103" s="24" t="n">
        <f aca="false">D103-G103</f>
        <v>60373876.1606759</v>
      </c>
    </row>
    <row r="104" customFormat="false" ht="15" hidden="false" customHeight="false" outlineLevel="0" collapsed="false">
      <c r="A104" s="22" t="n">
        <v>103</v>
      </c>
      <c r="B104" s="22" t="n">
        <f aca="false">INT((A104-1)/12)+1</f>
        <v>9</v>
      </c>
      <c r="C104" s="23" t="n">
        <f aca="false">IF(B104&gt;=入力!$B$14,入力!$B$15,IF(B104&gt;=入力!$B$12,入力!$B$13,入力!$B$11))</f>
        <v>0.015</v>
      </c>
      <c r="D104" s="24" t="n">
        <f aca="false">H103</f>
        <v>60373876.1606759</v>
      </c>
      <c r="E104" s="24" t="n">
        <f aca="false">-PMT(C104/12,420-A104+1,D104)</f>
        <v>230199.012127429</v>
      </c>
      <c r="F104" s="24" t="n">
        <f aca="false">D104*C104/12</f>
        <v>75467.3452008449</v>
      </c>
      <c r="G104" s="24" t="n">
        <f aca="false">E104-F104</f>
        <v>154731.666926585</v>
      </c>
      <c r="H104" s="24" t="n">
        <f aca="false">D104-G104</f>
        <v>60219144.4937493</v>
      </c>
    </row>
    <row r="105" customFormat="false" ht="15" hidden="false" customHeight="false" outlineLevel="0" collapsed="false">
      <c r="A105" s="22" t="n">
        <v>104</v>
      </c>
      <c r="B105" s="22" t="n">
        <f aca="false">INT((A105-1)/12)+1</f>
        <v>9</v>
      </c>
      <c r="C105" s="23" t="n">
        <f aca="false">IF(B105&gt;=入力!$B$14,入力!$B$15,IF(B105&gt;=入力!$B$12,入力!$B$13,入力!$B$11))</f>
        <v>0.015</v>
      </c>
      <c r="D105" s="24" t="n">
        <f aca="false">H104</f>
        <v>60219144.4937493</v>
      </c>
      <c r="E105" s="24" t="n">
        <f aca="false">-PMT(C105/12,420-A105+1,D105)</f>
        <v>230199.012127429</v>
      </c>
      <c r="F105" s="24" t="n">
        <f aca="false">D105*C105/12</f>
        <v>75273.9306171867</v>
      </c>
      <c r="G105" s="24" t="n">
        <f aca="false">E105-F105</f>
        <v>154925.081510243</v>
      </c>
      <c r="H105" s="24" t="n">
        <f aca="false">D105-G105</f>
        <v>60064219.4122391</v>
      </c>
    </row>
    <row r="106" customFormat="false" ht="15" hidden="false" customHeight="false" outlineLevel="0" collapsed="false">
      <c r="A106" s="22" t="n">
        <v>105</v>
      </c>
      <c r="B106" s="22" t="n">
        <f aca="false">INT((A106-1)/12)+1</f>
        <v>9</v>
      </c>
      <c r="C106" s="23" t="n">
        <f aca="false">IF(B106&gt;=入力!$B$14,入力!$B$15,IF(B106&gt;=入力!$B$12,入力!$B$13,入力!$B$11))</f>
        <v>0.015</v>
      </c>
      <c r="D106" s="24" t="n">
        <f aca="false">H105</f>
        <v>60064219.4122391</v>
      </c>
      <c r="E106" s="24" t="n">
        <f aca="false">-PMT(C106/12,420-A106+1,D106)</f>
        <v>230199.012127429</v>
      </c>
      <c r="F106" s="24" t="n">
        <f aca="false">D106*C106/12</f>
        <v>75080.2742652988</v>
      </c>
      <c r="G106" s="24" t="n">
        <f aca="false">E106-F106</f>
        <v>155118.737862131</v>
      </c>
      <c r="H106" s="24" t="n">
        <f aca="false">D106-G106</f>
        <v>59909100.6743769</v>
      </c>
    </row>
    <row r="107" customFormat="false" ht="15" hidden="false" customHeight="false" outlineLevel="0" collapsed="false">
      <c r="A107" s="22" t="n">
        <v>106</v>
      </c>
      <c r="B107" s="22" t="n">
        <f aca="false">INT((A107-1)/12)+1</f>
        <v>9</v>
      </c>
      <c r="C107" s="23" t="n">
        <f aca="false">IF(B107&gt;=入力!$B$14,入力!$B$15,IF(B107&gt;=入力!$B$12,入力!$B$13,入力!$B$11))</f>
        <v>0.015</v>
      </c>
      <c r="D107" s="24" t="n">
        <f aca="false">H106</f>
        <v>59909100.6743769</v>
      </c>
      <c r="E107" s="24" t="n">
        <f aca="false">-PMT(C107/12,420-A107+1,D107)</f>
        <v>230199.012127429</v>
      </c>
      <c r="F107" s="24" t="n">
        <f aca="false">D107*C107/12</f>
        <v>74886.3758429712</v>
      </c>
      <c r="G107" s="24" t="n">
        <f aca="false">E107-F107</f>
        <v>155312.636284458</v>
      </c>
      <c r="H107" s="24" t="n">
        <f aca="false">D107-G107</f>
        <v>59753788.0380925</v>
      </c>
    </row>
    <row r="108" customFormat="false" ht="15" hidden="false" customHeight="false" outlineLevel="0" collapsed="false">
      <c r="A108" s="22" t="n">
        <v>107</v>
      </c>
      <c r="B108" s="22" t="n">
        <f aca="false">INT((A108-1)/12)+1</f>
        <v>9</v>
      </c>
      <c r="C108" s="23" t="n">
        <f aca="false">IF(B108&gt;=入力!$B$14,入力!$B$15,IF(B108&gt;=入力!$B$12,入力!$B$13,入力!$B$11))</f>
        <v>0.015</v>
      </c>
      <c r="D108" s="24" t="n">
        <f aca="false">H107</f>
        <v>59753788.0380925</v>
      </c>
      <c r="E108" s="24" t="n">
        <f aca="false">-PMT(C108/12,420-A108+1,D108)</f>
        <v>230199.012127429</v>
      </c>
      <c r="F108" s="24" t="n">
        <f aca="false">D108*C108/12</f>
        <v>74692.2350476156</v>
      </c>
      <c r="G108" s="24" t="n">
        <f aca="false">E108-F108</f>
        <v>155506.777079814</v>
      </c>
      <c r="H108" s="24" t="n">
        <f aca="false">D108-G108</f>
        <v>59598281.2610127</v>
      </c>
    </row>
    <row r="109" customFormat="false" ht="15" hidden="false" customHeight="false" outlineLevel="0" collapsed="false">
      <c r="A109" s="22" t="n">
        <v>108</v>
      </c>
      <c r="B109" s="22" t="n">
        <f aca="false">INT((A109-1)/12)+1</f>
        <v>9</v>
      </c>
      <c r="C109" s="23" t="n">
        <f aca="false">IF(B109&gt;=入力!$B$14,入力!$B$15,IF(B109&gt;=入力!$B$12,入力!$B$13,入力!$B$11))</f>
        <v>0.015</v>
      </c>
      <c r="D109" s="24" t="n">
        <f aca="false">H108</f>
        <v>59598281.2610127</v>
      </c>
      <c r="E109" s="24" t="n">
        <f aca="false">-PMT(C109/12,420-A109+1,D109)</f>
        <v>230199.012127429</v>
      </c>
      <c r="F109" s="24" t="n">
        <f aca="false">D109*C109/12</f>
        <v>74497.8515762658</v>
      </c>
      <c r="G109" s="24" t="n">
        <f aca="false">E109-F109</f>
        <v>155701.160551163</v>
      </c>
      <c r="H109" s="24" t="n">
        <f aca="false">D109-G109</f>
        <v>59442580.1004615</v>
      </c>
    </row>
    <row r="110" customFormat="false" ht="15" hidden="false" customHeight="false" outlineLevel="0" collapsed="false">
      <c r="A110" s="22" t="n">
        <v>109</v>
      </c>
      <c r="B110" s="22" t="n">
        <f aca="false">INT((A110-1)/12)+1</f>
        <v>10</v>
      </c>
      <c r="C110" s="23" t="n">
        <f aca="false">IF(B110&gt;=入力!$B$14,入力!$B$15,IF(B110&gt;=入力!$B$12,入力!$B$13,入力!$B$11))</f>
        <v>0.015</v>
      </c>
      <c r="D110" s="24" t="n">
        <f aca="false">H109</f>
        <v>59442580.1004615</v>
      </c>
      <c r="E110" s="24" t="n">
        <f aca="false">-PMT(C110/12,420-A110+1,D110)</f>
        <v>230199.012127429</v>
      </c>
      <c r="F110" s="24" t="n">
        <f aca="false">D110*C110/12</f>
        <v>74303.2251255769</v>
      </c>
      <c r="G110" s="24" t="n">
        <f aca="false">E110-F110</f>
        <v>155895.787001852</v>
      </c>
      <c r="H110" s="24" t="n">
        <f aca="false">D110-G110</f>
        <v>59286684.3134597</v>
      </c>
    </row>
    <row r="111" customFormat="false" ht="15" hidden="false" customHeight="false" outlineLevel="0" collapsed="false">
      <c r="A111" s="22" t="n">
        <v>110</v>
      </c>
      <c r="B111" s="22" t="n">
        <f aca="false">INT((A111-1)/12)+1</f>
        <v>10</v>
      </c>
      <c r="C111" s="23" t="n">
        <f aca="false">IF(B111&gt;=入力!$B$14,入力!$B$15,IF(B111&gt;=入力!$B$12,入力!$B$13,入力!$B$11))</f>
        <v>0.015</v>
      </c>
      <c r="D111" s="24" t="n">
        <f aca="false">H110</f>
        <v>59286684.3134597</v>
      </c>
      <c r="E111" s="24" t="n">
        <f aca="false">-PMT(C111/12,420-A111+1,D111)</f>
        <v>230199.012127429</v>
      </c>
      <c r="F111" s="24" t="n">
        <f aca="false">D111*C111/12</f>
        <v>74108.3553918246</v>
      </c>
      <c r="G111" s="24" t="n">
        <f aca="false">E111-F111</f>
        <v>156090.656735605</v>
      </c>
      <c r="H111" s="24" t="n">
        <f aca="false">D111-G111</f>
        <v>59130593.6567241</v>
      </c>
    </row>
    <row r="112" customFormat="false" ht="15" hidden="false" customHeight="false" outlineLevel="0" collapsed="false">
      <c r="A112" s="22" t="n">
        <v>111</v>
      </c>
      <c r="B112" s="22" t="n">
        <f aca="false">INT((A112-1)/12)+1</f>
        <v>10</v>
      </c>
      <c r="C112" s="23" t="n">
        <f aca="false">IF(B112&gt;=入力!$B$14,入力!$B$15,IF(B112&gt;=入力!$B$12,入力!$B$13,入力!$B$11))</f>
        <v>0.015</v>
      </c>
      <c r="D112" s="24" t="n">
        <f aca="false">H111</f>
        <v>59130593.6567241</v>
      </c>
      <c r="E112" s="24" t="n">
        <f aca="false">-PMT(C112/12,420-A112+1,D112)</f>
        <v>230199.012127429</v>
      </c>
      <c r="F112" s="24" t="n">
        <f aca="false">D112*C112/12</f>
        <v>73913.2420709051</v>
      </c>
      <c r="G112" s="24" t="n">
        <f aca="false">E112-F112</f>
        <v>156285.770056524</v>
      </c>
      <c r="H112" s="24" t="n">
        <f aca="false">D112-G112</f>
        <v>58974307.8866675</v>
      </c>
    </row>
    <row r="113" customFormat="false" ht="15" hidden="false" customHeight="false" outlineLevel="0" collapsed="false">
      <c r="A113" s="22" t="n">
        <v>112</v>
      </c>
      <c r="B113" s="22" t="n">
        <f aca="false">INT((A113-1)/12)+1</f>
        <v>10</v>
      </c>
      <c r="C113" s="23" t="n">
        <f aca="false">IF(B113&gt;=入力!$B$14,入力!$B$15,IF(B113&gt;=入力!$B$12,入力!$B$13,入力!$B$11))</f>
        <v>0.015</v>
      </c>
      <c r="D113" s="24" t="n">
        <f aca="false">H112</f>
        <v>58974307.8866675</v>
      </c>
      <c r="E113" s="24" t="n">
        <f aca="false">-PMT(C113/12,420-A113+1,D113)</f>
        <v>230199.012127429</v>
      </c>
      <c r="F113" s="24" t="n">
        <f aca="false">D113*C113/12</f>
        <v>73717.8848583344</v>
      </c>
      <c r="G113" s="24" t="n">
        <f aca="false">E113-F113</f>
        <v>156481.127269095</v>
      </c>
      <c r="H113" s="24" t="n">
        <f aca="false">D113-G113</f>
        <v>58817826.7593984</v>
      </c>
    </row>
    <row r="114" customFormat="false" ht="15" hidden="false" customHeight="false" outlineLevel="0" collapsed="false">
      <c r="A114" s="22" t="n">
        <v>113</v>
      </c>
      <c r="B114" s="22" t="n">
        <f aca="false">INT((A114-1)/12)+1</f>
        <v>10</v>
      </c>
      <c r="C114" s="23" t="n">
        <f aca="false">IF(B114&gt;=入力!$B$14,入力!$B$15,IF(B114&gt;=入力!$B$12,入力!$B$13,入力!$B$11))</f>
        <v>0.015</v>
      </c>
      <c r="D114" s="24" t="n">
        <f aca="false">H113</f>
        <v>58817826.7593984</v>
      </c>
      <c r="E114" s="24" t="n">
        <f aca="false">-PMT(C114/12,420-A114+1,D114)</f>
        <v>230199.012127429</v>
      </c>
      <c r="F114" s="24" t="n">
        <f aca="false">D114*C114/12</f>
        <v>73522.283449248</v>
      </c>
      <c r="G114" s="24" t="n">
        <f aca="false">E114-F114</f>
        <v>156676.728678181</v>
      </c>
      <c r="H114" s="24" t="n">
        <f aca="false">D114-G114</f>
        <v>58661150.0307203</v>
      </c>
    </row>
    <row r="115" customFormat="false" ht="15" hidden="false" customHeight="false" outlineLevel="0" collapsed="false">
      <c r="A115" s="22" t="n">
        <v>114</v>
      </c>
      <c r="B115" s="22" t="n">
        <f aca="false">INT((A115-1)/12)+1</f>
        <v>10</v>
      </c>
      <c r="C115" s="23" t="n">
        <f aca="false">IF(B115&gt;=入力!$B$14,入力!$B$15,IF(B115&gt;=入力!$B$12,入力!$B$13,入力!$B$11))</f>
        <v>0.015</v>
      </c>
      <c r="D115" s="24" t="n">
        <f aca="false">H114</f>
        <v>58661150.0307203</v>
      </c>
      <c r="E115" s="24" t="n">
        <f aca="false">-PMT(C115/12,420-A115+1,D115)</f>
        <v>230199.012127429</v>
      </c>
      <c r="F115" s="24" t="n">
        <f aca="false">D115*C115/12</f>
        <v>73326.4375384003</v>
      </c>
      <c r="G115" s="24" t="n">
        <f aca="false">E115-F115</f>
        <v>156872.574589029</v>
      </c>
      <c r="H115" s="24" t="n">
        <f aca="false">D115-G115</f>
        <v>58504277.4561312</v>
      </c>
    </row>
    <row r="116" customFormat="false" ht="15" hidden="false" customHeight="false" outlineLevel="0" collapsed="false">
      <c r="A116" s="22" t="n">
        <v>115</v>
      </c>
      <c r="B116" s="22" t="n">
        <f aca="false">INT((A116-1)/12)+1</f>
        <v>10</v>
      </c>
      <c r="C116" s="23" t="n">
        <f aca="false">IF(B116&gt;=入力!$B$14,入力!$B$15,IF(B116&gt;=入力!$B$12,入力!$B$13,入力!$B$11))</f>
        <v>0.015</v>
      </c>
      <c r="D116" s="24" t="n">
        <f aca="false">H115</f>
        <v>58504277.4561312</v>
      </c>
      <c r="E116" s="24" t="n">
        <f aca="false">-PMT(C116/12,420-A116+1,D116)</f>
        <v>230199.012127429</v>
      </c>
      <c r="F116" s="24" t="n">
        <f aca="false">D116*C116/12</f>
        <v>73130.346820164</v>
      </c>
      <c r="G116" s="24" t="n">
        <f aca="false">E116-F116</f>
        <v>157068.665307265</v>
      </c>
      <c r="H116" s="24" t="n">
        <f aca="false">D116-G116</f>
        <v>58347208.790824</v>
      </c>
    </row>
    <row r="117" customFormat="false" ht="15" hidden="false" customHeight="false" outlineLevel="0" collapsed="false">
      <c r="A117" s="22" t="n">
        <v>116</v>
      </c>
      <c r="B117" s="22" t="n">
        <f aca="false">INT((A117-1)/12)+1</f>
        <v>10</v>
      </c>
      <c r="C117" s="23" t="n">
        <f aca="false">IF(B117&gt;=入力!$B$14,入力!$B$15,IF(B117&gt;=入力!$B$12,入力!$B$13,入力!$B$11))</f>
        <v>0.015</v>
      </c>
      <c r="D117" s="24" t="n">
        <f aca="false">H116</f>
        <v>58347208.790824</v>
      </c>
      <c r="E117" s="24" t="n">
        <f aca="false">-PMT(C117/12,420-A117+1,D117)</f>
        <v>230199.012127429</v>
      </c>
      <c r="F117" s="24" t="n">
        <f aca="false">D117*C117/12</f>
        <v>72934.0109885299</v>
      </c>
      <c r="G117" s="24" t="n">
        <f aca="false">E117-F117</f>
        <v>157265.001138899</v>
      </c>
      <c r="H117" s="24" t="n">
        <f aca="false">D117-G117</f>
        <v>58189943.7896851</v>
      </c>
    </row>
    <row r="118" customFormat="false" ht="15" hidden="false" customHeight="false" outlineLevel="0" collapsed="false">
      <c r="A118" s="22" t="n">
        <v>117</v>
      </c>
      <c r="B118" s="22" t="n">
        <f aca="false">INT((A118-1)/12)+1</f>
        <v>10</v>
      </c>
      <c r="C118" s="23" t="n">
        <f aca="false">IF(B118&gt;=入力!$B$14,入力!$B$15,IF(B118&gt;=入力!$B$12,入力!$B$13,入力!$B$11))</f>
        <v>0.015</v>
      </c>
      <c r="D118" s="24" t="n">
        <f aca="false">H117</f>
        <v>58189943.7896851</v>
      </c>
      <c r="E118" s="24" t="n">
        <f aca="false">-PMT(C118/12,420-A118+1,D118)</f>
        <v>230199.012127429</v>
      </c>
      <c r="F118" s="24" t="n">
        <f aca="false">D118*C118/12</f>
        <v>72737.4297371063</v>
      </c>
      <c r="G118" s="24" t="n">
        <f aca="false">E118-F118</f>
        <v>157461.582390323</v>
      </c>
      <c r="H118" s="24" t="n">
        <f aca="false">D118-G118</f>
        <v>58032482.2072947</v>
      </c>
    </row>
    <row r="119" customFormat="false" ht="15" hidden="false" customHeight="false" outlineLevel="0" collapsed="false">
      <c r="A119" s="22" t="n">
        <v>118</v>
      </c>
      <c r="B119" s="22" t="n">
        <f aca="false">INT((A119-1)/12)+1</f>
        <v>10</v>
      </c>
      <c r="C119" s="23" t="n">
        <f aca="false">IF(B119&gt;=入力!$B$14,入力!$B$15,IF(B119&gt;=入力!$B$12,入力!$B$13,入力!$B$11))</f>
        <v>0.015</v>
      </c>
      <c r="D119" s="24" t="n">
        <f aca="false">H118</f>
        <v>58032482.2072947</v>
      </c>
      <c r="E119" s="24" t="n">
        <f aca="false">-PMT(C119/12,420-A119+1,D119)</f>
        <v>230199.012127429</v>
      </c>
      <c r="F119" s="24" t="n">
        <f aca="false">D119*C119/12</f>
        <v>72540.6027591184</v>
      </c>
      <c r="G119" s="24" t="n">
        <f aca="false">E119-F119</f>
        <v>157658.409368311</v>
      </c>
      <c r="H119" s="24" t="n">
        <f aca="false">D119-G119</f>
        <v>57874823.7979264</v>
      </c>
    </row>
    <row r="120" customFormat="false" ht="15" hidden="false" customHeight="false" outlineLevel="0" collapsed="false">
      <c r="A120" s="22" t="n">
        <v>119</v>
      </c>
      <c r="B120" s="22" t="n">
        <f aca="false">INT((A120-1)/12)+1</f>
        <v>10</v>
      </c>
      <c r="C120" s="23" t="n">
        <f aca="false">IF(B120&gt;=入力!$B$14,入力!$B$15,IF(B120&gt;=入力!$B$12,入力!$B$13,入力!$B$11))</f>
        <v>0.015</v>
      </c>
      <c r="D120" s="24" t="n">
        <f aca="false">H119</f>
        <v>57874823.7979264</v>
      </c>
      <c r="E120" s="24" t="n">
        <f aca="false">-PMT(C120/12,420-A120+1,D120)</f>
        <v>230199.012127429</v>
      </c>
      <c r="F120" s="24" t="n">
        <f aca="false">D120*C120/12</f>
        <v>72343.529747408</v>
      </c>
      <c r="G120" s="24" t="n">
        <f aca="false">E120-F120</f>
        <v>157855.482380021</v>
      </c>
      <c r="H120" s="24" t="n">
        <f aca="false">D120-G120</f>
        <v>57716968.3155464</v>
      </c>
    </row>
    <row r="121" customFormat="false" ht="15" hidden="false" customHeight="false" outlineLevel="0" collapsed="false">
      <c r="A121" s="22" t="n">
        <v>120</v>
      </c>
      <c r="B121" s="22" t="n">
        <f aca="false">INT((A121-1)/12)+1</f>
        <v>10</v>
      </c>
      <c r="C121" s="23" t="n">
        <f aca="false">IF(B121&gt;=入力!$B$14,入力!$B$15,IF(B121&gt;=入力!$B$12,入力!$B$13,入力!$B$11))</f>
        <v>0.015</v>
      </c>
      <c r="D121" s="24" t="n">
        <f aca="false">H120</f>
        <v>57716968.3155464</v>
      </c>
      <c r="E121" s="24" t="n">
        <f aca="false">-PMT(C121/12,420-A121+1,D121)</f>
        <v>230199.012127429</v>
      </c>
      <c r="F121" s="24" t="n">
        <f aca="false">D121*C121/12</f>
        <v>72146.210394433</v>
      </c>
      <c r="G121" s="24" t="n">
        <f aca="false">E121-F121</f>
        <v>158052.801732996</v>
      </c>
      <c r="H121" s="24" t="n">
        <f aca="false">D121-G121</f>
        <v>57558915.5138134</v>
      </c>
    </row>
    <row r="122" customFormat="false" ht="15" hidden="false" customHeight="false" outlineLevel="0" collapsed="false">
      <c r="A122" s="22" t="n">
        <v>121</v>
      </c>
      <c r="B122" s="22" t="n">
        <f aca="false">INT((A122-1)/12)+1</f>
        <v>11</v>
      </c>
      <c r="C122" s="23" t="n">
        <f aca="false">IF(B122&gt;=入力!$B$14,入力!$B$15,IF(B122&gt;=入力!$B$12,入力!$B$13,入力!$B$11))</f>
        <v>0.02</v>
      </c>
      <c r="D122" s="24" t="n">
        <f aca="false">H121</f>
        <v>57558915.5138134</v>
      </c>
      <c r="E122" s="24" t="n">
        <f aca="false">-PMT(C122/12,420-A122+1,D122)</f>
        <v>243965.960681775</v>
      </c>
      <c r="F122" s="24" t="n">
        <f aca="false">D122*C122/12</f>
        <v>95931.5258563557</v>
      </c>
      <c r="G122" s="24" t="n">
        <f aca="false">E122-F122</f>
        <v>148034.434825419</v>
      </c>
      <c r="H122" s="24" t="n">
        <f aca="false">D122-G122</f>
        <v>57410881.078988</v>
      </c>
    </row>
    <row r="123" customFormat="false" ht="15" hidden="false" customHeight="false" outlineLevel="0" collapsed="false">
      <c r="A123" s="22" t="n">
        <v>122</v>
      </c>
      <c r="B123" s="22" t="n">
        <f aca="false">INT((A123-1)/12)+1</f>
        <v>11</v>
      </c>
      <c r="C123" s="23" t="n">
        <f aca="false">IF(B123&gt;=入力!$B$14,入力!$B$15,IF(B123&gt;=入力!$B$12,入力!$B$13,入力!$B$11))</f>
        <v>0.02</v>
      </c>
      <c r="D123" s="24" t="n">
        <f aca="false">H122</f>
        <v>57410881.078988</v>
      </c>
      <c r="E123" s="24" t="n">
        <f aca="false">-PMT(C123/12,420-A123+1,D123)</f>
        <v>243965.960681775</v>
      </c>
      <c r="F123" s="24" t="n">
        <f aca="false">D123*C123/12</f>
        <v>95684.8017983133</v>
      </c>
      <c r="G123" s="24" t="n">
        <f aca="false">E123-F123</f>
        <v>148281.158883461</v>
      </c>
      <c r="H123" s="24" t="n">
        <f aca="false">D123-G123</f>
        <v>57262599.9201045</v>
      </c>
    </row>
    <row r="124" customFormat="false" ht="15" hidden="false" customHeight="false" outlineLevel="0" collapsed="false">
      <c r="A124" s="22" t="n">
        <v>123</v>
      </c>
      <c r="B124" s="22" t="n">
        <f aca="false">INT((A124-1)/12)+1</f>
        <v>11</v>
      </c>
      <c r="C124" s="23" t="n">
        <f aca="false">IF(B124&gt;=入力!$B$14,入力!$B$15,IF(B124&gt;=入力!$B$12,入力!$B$13,入力!$B$11))</f>
        <v>0.02</v>
      </c>
      <c r="D124" s="24" t="n">
        <f aca="false">H123</f>
        <v>57262599.9201045</v>
      </c>
      <c r="E124" s="24" t="n">
        <f aca="false">-PMT(C124/12,420-A124+1,D124)</f>
        <v>243965.960681775</v>
      </c>
      <c r="F124" s="24" t="n">
        <f aca="false">D124*C124/12</f>
        <v>95437.6665335075</v>
      </c>
      <c r="G124" s="24" t="n">
        <f aca="false">E124-F124</f>
        <v>148528.294148267</v>
      </c>
      <c r="H124" s="24" t="n">
        <f aca="false">D124-G124</f>
        <v>57114071.6259563</v>
      </c>
    </row>
    <row r="125" customFormat="false" ht="15" hidden="false" customHeight="false" outlineLevel="0" collapsed="false">
      <c r="A125" s="22" t="n">
        <v>124</v>
      </c>
      <c r="B125" s="22" t="n">
        <f aca="false">INT((A125-1)/12)+1</f>
        <v>11</v>
      </c>
      <c r="C125" s="23" t="n">
        <f aca="false">IF(B125&gt;=入力!$B$14,入力!$B$15,IF(B125&gt;=入力!$B$12,入力!$B$13,入力!$B$11))</f>
        <v>0.02</v>
      </c>
      <c r="D125" s="24" t="n">
        <f aca="false">H124</f>
        <v>57114071.6259563</v>
      </c>
      <c r="E125" s="24" t="n">
        <f aca="false">-PMT(C125/12,420-A125+1,D125)</f>
        <v>243965.960681775</v>
      </c>
      <c r="F125" s="24" t="n">
        <f aca="false">D125*C125/12</f>
        <v>95190.1193765938</v>
      </c>
      <c r="G125" s="24" t="n">
        <f aca="false">E125-F125</f>
        <v>148775.841305181</v>
      </c>
      <c r="H125" s="24" t="n">
        <f aca="false">D125-G125</f>
        <v>56965295.7846511</v>
      </c>
    </row>
    <row r="126" customFormat="false" ht="15" hidden="false" customHeight="false" outlineLevel="0" collapsed="false">
      <c r="A126" s="22" t="n">
        <v>125</v>
      </c>
      <c r="B126" s="22" t="n">
        <f aca="false">INT((A126-1)/12)+1</f>
        <v>11</v>
      </c>
      <c r="C126" s="23" t="n">
        <f aca="false">IF(B126&gt;=入力!$B$14,入力!$B$15,IF(B126&gt;=入力!$B$12,入力!$B$13,入力!$B$11))</f>
        <v>0.02</v>
      </c>
      <c r="D126" s="24" t="n">
        <f aca="false">H125</f>
        <v>56965295.7846511</v>
      </c>
      <c r="E126" s="24" t="n">
        <f aca="false">-PMT(C126/12,420-A126+1,D126)</f>
        <v>243965.960681775</v>
      </c>
      <c r="F126" s="24" t="n">
        <f aca="false">D126*C126/12</f>
        <v>94942.1596410851</v>
      </c>
      <c r="G126" s="24" t="n">
        <f aca="false">E126-F126</f>
        <v>149023.80104069</v>
      </c>
      <c r="H126" s="24" t="n">
        <f aca="false">D126-G126</f>
        <v>56816271.9836104</v>
      </c>
    </row>
    <row r="127" customFormat="false" ht="15" hidden="false" customHeight="false" outlineLevel="0" collapsed="false">
      <c r="A127" s="22" t="n">
        <v>126</v>
      </c>
      <c r="B127" s="22" t="n">
        <f aca="false">INT((A127-1)/12)+1</f>
        <v>11</v>
      </c>
      <c r="C127" s="23" t="n">
        <f aca="false">IF(B127&gt;=入力!$B$14,入力!$B$15,IF(B127&gt;=入力!$B$12,入力!$B$13,入力!$B$11))</f>
        <v>0.02</v>
      </c>
      <c r="D127" s="24" t="n">
        <f aca="false">H126</f>
        <v>56816271.9836104</v>
      </c>
      <c r="E127" s="24" t="n">
        <f aca="false">-PMT(C127/12,420-A127+1,D127)</f>
        <v>243965.960681775</v>
      </c>
      <c r="F127" s="24" t="n">
        <f aca="false">D127*C127/12</f>
        <v>94693.7866393507</v>
      </c>
      <c r="G127" s="24" t="n">
        <f aca="false">E127-F127</f>
        <v>149272.174042424</v>
      </c>
      <c r="H127" s="24" t="n">
        <f aca="false">D127-G127</f>
        <v>56666999.809568</v>
      </c>
    </row>
    <row r="128" customFormat="false" ht="15" hidden="false" customHeight="false" outlineLevel="0" collapsed="false">
      <c r="A128" s="22" t="n">
        <v>127</v>
      </c>
      <c r="B128" s="22" t="n">
        <f aca="false">INT((A128-1)/12)+1</f>
        <v>11</v>
      </c>
      <c r="C128" s="23" t="n">
        <f aca="false">IF(B128&gt;=入力!$B$14,入力!$B$15,IF(B128&gt;=入力!$B$12,入力!$B$13,入力!$B$11))</f>
        <v>0.02</v>
      </c>
      <c r="D128" s="24" t="n">
        <f aca="false">H127</f>
        <v>56666999.809568</v>
      </c>
      <c r="E128" s="24" t="n">
        <f aca="false">-PMT(C128/12,420-A128+1,D128)</f>
        <v>243965.960681775</v>
      </c>
      <c r="F128" s="24" t="n">
        <f aca="false">D128*C128/12</f>
        <v>94444.9996826133</v>
      </c>
      <c r="G128" s="24" t="n">
        <f aca="false">E128-F128</f>
        <v>149520.960999161</v>
      </c>
      <c r="H128" s="24" t="n">
        <f aca="false">D128-G128</f>
        <v>56517478.8485688</v>
      </c>
    </row>
    <row r="129" customFormat="false" ht="15" hidden="false" customHeight="false" outlineLevel="0" collapsed="false">
      <c r="A129" s="22" t="n">
        <v>128</v>
      </c>
      <c r="B129" s="22" t="n">
        <f aca="false">INT((A129-1)/12)+1</f>
        <v>11</v>
      </c>
      <c r="C129" s="23" t="n">
        <f aca="false">IF(B129&gt;=入力!$B$14,入力!$B$15,IF(B129&gt;=入力!$B$12,入力!$B$13,入力!$B$11))</f>
        <v>0.02</v>
      </c>
      <c r="D129" s="24" t="n">
        <f aca="false">H128</f>
        <v>56517478.8485688</v>
      </c>
      <c r="E129" s="24" t="n">
        <f aca="false">-PMT(C129/12,420-A129+1,D129)</f>
        <v>243965.960681775</v>
      </c>
      <c r="F129" s="24" t="n">
        <f aca="false">D129*C129/12</f>
        <v>94195.798080948</v>
      </c>
      <c r="G129" s="24" t="n">
        <f aca="false">E129-F129</f>
        <v>149770.162600827</v>
      </c>
      <c r="H129" s="24" t="n">
        <f aca="false">D129-G129</f>
        <v>56367708.685968</v>
      </c>
    </row>
    <row r="130" customFormat="false" ht="15" hidden="false" customHeight="false" outlineLevel="0" collapsed="false">
      <c r="A130" s="22" t="n">
        <v>129</v>
      </c>
      <c r="B130" s="22" t="n">
        <f aca="false">INT((A130-1)/12)+1</f>
        <v>11</v>
      </c>
      <c r="C130" s="23" t="n">
        <f aca="false">IF(B130&gt;=入力!$B$14,入力!$B$15,IF(B130&gt;=入力!$B$12,入力!$B$13,入力!$B$11))</f>
        <v>0.02</v>
      </c>
      <c r="D130" s="24" t="n">
        <f aca="false">H129</f>
        <v>56367708.685968</v>
      </c>
      <c r="E130" s="24" t="n">
        <f aca="false">-PMT(C130/12,420-A130+1,D130)</f>
        <v>243965.960681775</v>
      </c>
      <c r="F130" s="24" t="n">
        <f aca="false">D130*C130/12</f>
        <v>93946.18114328</v>
      </c>
      <c r="G130" s="24" t="n">
        <f aca="false">E130-F130</f>
        <v>150019.779538495</v>
      </c>
      <c r="H130" s="24" t="n">
        <f aca="false">D130-G130</f>
        <v>56217688.9064295</v>
      </c>
    </row>
    <row r="131" customFormat="false" ht="15" hidden="false" customHeight="false" outlineLevel="0" collapsed="false">
      <c r="A131" s="22" t="n">
        <v>130</v>
      </c>
      <c r="B131" s="22" t="n">
        <f aca="false">INT((A131-1)/12)+1</f>
        <v>11</v>
      </c>
      <c r="C131" s="23" t="n">
        <f aca="false">IF(B131&gt;=入力!$B$14,入力!$B$15,IF(B131&gt;=入力!$B$12,入力!$B$13,入力!$B$11))</f>
        <v>0.02</v>
      </c>
      <c r="D131" s="24" t="n">
        <f aca="false">H130</f>
        <v>56217688.9064295</v>
      </c>
      <c r="E131" s="24" t="n">
        <f aca="false">-PMT(C131/12,420-A131+1,D131)</f>
        <v>243965.960681775</v>
      </c>
      <c r="F131" s="24" t="n">
        <f aca="false">D131*C131/12</f>
        <v>93696.1481773825</v>
      </c>
      <c r="G131" s="24" t="n">
        <f aca="false">E131-F131</f>
        <v>150269.812504392</v>
      </c>
      <c r="H131" s="24" t="n">
        <f aca="false">D131-G131</f>
        <v>56067419.0939251</v>
      </c>
    </row>
    <row r="132" customFormat="false" ht="15" hidden="false" customHeight="false" outlineLevel="0" collapsed="false">
      <c r="A132" s="22" t="n">
        <v>131</v>
      </c>
      <c r="B132" s="22" t="n">
        <f aca="false">INT((A132-1)/12)+1</f>
        <v>11</v>
      </c>
      <c r="C132" s="23" t="n">
        <f aca="false">IF(B132&gt;=入力!$B$14,入力!$B$15,IF(B132&gt;=入力!$B$12,入力!$B$13,入力!$B$11))</f>
        <v>0.02</v>
      </c>
      <c r="D132" s="24" t="n">
        <f aca="false">H131</f>
        <v>56067419.0939251</v>
      </c>
      <c r="E132" s="24" t="n">
        <f aca="false">-PMT(C132/12,420-A132+1,D132)</f>
        <v>243965.960681775</v>
      </c>
      <c r="F132" s="24" t="n">
        <f aca="false">D132*C132/12</f>
        <v>93445.6984898751</v>
      </c>
      <c r="G132" s="24" t="n">
        <f aca="false">E132-F132</f>
        <v>150520.2621919</v>
      </c>
      <c r="H132" s="24" t="n">
        <f aca="false">D132-G132</f>
        <v>55916898.8317332</v>
      </c>
    </row>
    <row r="133" customFormat="false" ht="15" hidden="false" customHeight="false" outlineLevel="0" collapsed="false">
      <c r="A133" s="22" t="n">
        <v>132</v>
      </c>
      <c r="B133" s="22" t="n">
        <f aca="false">INT((A133-1)/12)+1</f>
        <v>11</v>
      </c>
      <c r="C133" s="23" t="n">
        <f aca="false">IF(B133&gt;=入力!$B$14,入力!$B$15,IF(B133&gt;=入力!$B$12,入力!$B$13,入力!$B$11))</f>
        <v>0.02</v>
      </c>
      <c r="D133" s="24" t="n">
        <f aca="false">H132</f>
        <v>55916898.8317332</v>
      </c>
      <c r="E133" s="24" t="n">
        <f aca="false">-PMT(C133/12,420-A133+1,D133)</f>
        <v>243965.960681775</v>
      </c>
      <c r="F133" s="24" t="n">
        <f aca="false">D133*C133/12</f>
        <v>93194.831386222</v>
      </c>
      <c r="G133" s="24" t="n">
        <f aca="false">E133-F133</f>
        <v>150771.129295553</v>
      </c>
      <c r="H133" s="24" t="n">
        <f aca="false">D133-G133</f>
        <v>55766127.7024376</v>
      </c>
    </row>
    <row r="134" customFormat="false" ht="15" hidden="false" customHeight="false" outlineLevel="0" collapsed="false">
      <c r="A134" s="22" t="n">
        <v>133</v>
      </c>
      <c r="B134" s="22" t="n">
        <f aca="false">INT((A134-1)/12)+1</f>
        <v>12</v>
      </c>
      <c r="C134" s="23" t="n">
        <f aca="false">IF(B134&gt;=入力!$B$14,入力!$B$15,IF(B134&gt;=入力!$B$12,入力!$B$13,入力!$B$11))</f>
        <v>0.02</v>
      </c>
      <c r="D134" s="24" t="n">
        <f aca="false">H133</f>
        <v>55766127.7024376</v>
      </c>
      <c r="E134" s="24" t="n">
        <f aca="false">-PMT(C134/12,420-A134+1,D134)</f>
        <v>243965.960681775</v>
      </c>
      <c r="F134" s="24" t="n">
        <f aca="false">D134*C134/12</f>
        <v>92943.5461707294</v>
      </c>
      <c r="G134" s="24" t="n">
        <f aca="false">E134-F134</f>
        <v>151022.414511045</v>
      </c>
      <c r="H134" s="24" t="n">
        <f aca="false">D134-G134</f>
        <v>55615105.2879266</v>
      </c>
    </row>
    <row r="135" customFormat="false" ht="15" hidden="false" customHeight="false" outlineLevel="0" collapsed="false">
      <c r="A135" s="22" t="n">
        <v>134</v>
      </c>
      <c r="B135" s="22" t="n">
        <f aca="false">INT((A135-1)/12)+1</f>
        <v>12</v>
      </c>
      <c r="C135" s="23" t="n">
        <f aca="false">IF(B135&gt;=入力!$B$14,入力!$B$15,IF(B135&gt;=入力!$B$12,入力!$B$13,入力!$B$11))</f>
        <v>0.02</v>
      </c>
      <c r="D135" s="24" t="n">
        <f aca="false">H134</f>
        <v>55615105.2879266</v>
      </c>
      <c r="E135" s="24" t="n">
        <f aca="false">-PMT(C135/12,420-A135+1,D135)</f>
        <v>243965.960681775</v>
      </c>
      <c r="F135" s="24" t="n">
        <f aca="false">D135*C135/12</f>
        <v>92691.8421465443</v>
      </c>
      <c r="G135" s="24" t="n">
        <f aca="false">E135-F135</f>
        <v>151274.118535231</v>
      </c>
      <c r="H135" s="24" t="n">
        <f aca="false">D135-G135</f>
        <v>55463831.1693914</v>
      </c>
    </row>
    <row r="136" customFormat="false" ht="15" hidden="false" customHeight="false" outlineLevel="0" collapsed="false">
      <c r="A136" s="22" t="n">
        <v>135</v>
      </c>
      <c r="B136" s="22" t="n">
        <f aca="false">INT((A136-1)/12)+1</f>
        <v>12</v>
      </c>
      <c r="C136" s="23" t="n">
        <f aca="false">IF(B136&gt;=入力!$B$14,入力!$B$15,IF(B136&gt;=入力!$B$12,入力!$B$13,入力!$B$11))</f>
        <v>0.02</v>
      </c>
      <c r="D136" s="24" t="n">
        <f aca="false">H135</f>
        <v>55463831.1693914</v>
      </c>
      <c r="E136" s="24" t="n">
        <f aca="false">-PMT(C136/12,420-A136+1,D136)</f>
        <v>243965.960681775</v>
      </c>
      <c r="F136" s="24" t="n">
        <f aca="false">D136*C136/12</f>
        <v>92439.7186156523</v>
      </c>
      <c r="G136" s="24" t="n">
        <f aca="false">E136-F136</f>
        <v>151526.242066122</v>
      </c>
      <c r="H136" s="24" t="n">
        <f aca="false">D136-G136</f>
        <v>55312304.9273252</v>
      </c>
    </row>
    <row r="137" customFormat="false" ht="15" hidden="false" customHeight="false" outlineLevel="0" collapsed="false">
      <c r="A137" s="22" t="n">
        <v>136</v>
      </c>
      <c r="B137" s="22" t="n">
        <f aca="false">INT((A137-1)/12)+1</f>
        <v>12</v>
      </c>
      <c r="C137" s="23" t="n">
        <f aca="false">IF(B137&gt;=入力!$B$14,入力!$B$15,IF(B137&gt;=入力!$B$12,入力!$B$13,入力!$B$11))</f>
        <v>0.02</v>
      </c>
      <c r="D137" s="24" t="n">
        <f aca="false">H136</f>
        <v>55312304.9273252</v>
      </c>
      <c r="E137" s="24" t="n">
        <f aca="false">-PMT(C137/12,420-A137+1,D137)</f>
        <v>243965.960681775</v>
      </c>
      <c r="F137" s="24" t="n">
        <f aca="false">D137*C137/12</f>
        <v>92187.1748788754</v>
      </c>
      <c r="G137" s="24" t="n">
        <f aca="false">E137-F137</f>
        <v>151778.785802899</v>
      </c>
      <c r="H137" s="24" t="n">
        <f aca="false">D137-G137</f>
        <v>55160526.1415223</v>
      </c>
    </row>
    <row r="138" customFormat="false" ht="15" hidden="false" customHeight="false" outlineLevel="0" collapsed="false">
      <c r="A138" s="22" t="n">
        <v>137</v>
      </c>
      <c r="B138" s="22" t="n">
        <f aca="false">INT((A138-1)/12)+1</f>
        <v>12</v>
      </c>
      <c r="C138" s="23" t="n">
        <f aca="false">IF(B138&gt;=入力!$B$14,入力!$B$15,IF(B138&gt;=入力!$B$12,入力!$B$13,入力!$B$11))</f>
        <v>0.02</v>
      </c>
      <c r="D138" s="24" t="n">
        <f aca="false">H137</f>
        <v>55160526.1415223</v>
      </c>
      <c r="E138" s="24" t="n">
        <f aca="false">-PMT(C138/12,420-A138+1,D138)</f>
        <v>243965.960681775</v>
      </c>
      <c r="F138" s="24" t="n">
        <f aca="false">D138*C138/12</f>
        <v>91934.2102358706</v>
      </c>
      <c r="G138" s="24" t="n">
        <f aca="false">E138-F138</f>
        <v>152031.750445904</v>
      </c>
      <c r="H138" s="24" t="n">
        <f aca="false">D138-G138</f>
        <v>55008494.3910764</v>
      </c>
    </row>
    <row r="139" customFormat="false" ht="15" hidden="false" customHeight="false" outlineLevel="0" collapsed="false">
      <c r="A139" s="22" t="n">
        <v>138</v>
      </c>
      <c r="B139" s="22" t="n">
        <f aca="false">INT((A139-1)/12)+1</f>
        <v>12</v>
      </c>
      <c r="C139" s="23" t="n">
        <f aca="false">IF(B139&gt;=入力!$B$14,入力!$B$15,IF(B139&gt;=入力!$B$12,入力!$B$13,入力!$B$11))</f>
        <v>0.02</v>
      </c>
      <c r="D139" s="24" t="n">
        <f aca="false">H138</f>
        <v>55008494.3910764</v>
      </c>
      <c r="E139" s="24" t="n">
        <f aca="false">-PMT(C139/12,420-A139+1,D139)</f>
        <v>243965.960681775</v>
      </c>
      <c r="F139" s="24" t="n">
        <f aca="false">D139*C139/12</f>
        <v>91680.8239851274</v>
      </c>
      <c r="G139" s="24" t="n">
        <f aca="false">E139-F139</f>
        <v>152285.136696647</v>
      </c>
      <c r="H139" s="24" t="n">
        <f aca="false">D139-G139</f>
        <v>54856209.2543798</v>
      </c>
    </row>
    <row r="140" customFormat="false" ht="15" hidden="false" customHeight="false" outlineLevel="0" collapsed="false">
      <c r="A140" s="22" t="n">
        <v>139</v>
      </c>
      <c r="B140" s="22" t="n">
        <f aca="false">INT((A140-1)/12)+1</f>
        <v>12</v>
      </c>
      <c r="C140" s="23" t="n">
        <f aca="false">IF(B140&gt;=入力!$B$14,入力!$B$15,IF(B140&gt;=入力!$B$12,入力!$B$13,入力!$B$11))</f>
        <v>0.02</v>
      </c>
      <c r="D140" s="24" t="n">
        <f aca="false">H139</f>
        <v>54856209.2543798</v>
      </c>
      <c r="E140" s="24" t="n">
        <f aca="false">-PMT(C140/12,420-A140+1,D140)</f>
        <v>243965.960681775</v>
      </c>
      <c r="F140" s="24" t="n">
        <f aca="false">D140*C140/12</f>
        <v>91427.0154239663</v>
      </c>
      <c r="G140" s="24" t="n">
        <f aca="false">E140-F140</f>
        <v>152538.945257808</v>
      </c>
      <c r="H140" s="24" t="n">
        <f aca="false">D140-G140</f>
        <v>54703670.309122</v>
      </c>
    </row>
    <row r="141" customFormat="false" ht="15" hidden="false" customHeight="false" outlineLevel="0" collapsed="false">
      <c r="A141" s="22" t="n">
        <v>140</v>
      </c>
      <c r="B141" s="22" t="n">
        <f aca="false">INT((A141-1)/12)+1</f>
        <v>12</v>
      </c>
      <c r="C141" s="23" t="n">
        <f aca="false">IF(B141&gt;=入力!$B$14,入力!$B$15,IF(B141&gt;=入力!$B$12,入力!$B$13,入力!$B$11))</f>
        <v>0.02</v>
      </c>
      <c r="D141" s="24" t="n">
        <f aca="false">H140</f>
        <v>54703670.309122</v>
      </c>
      <c r="E141" s="24" t="n">
        <f aca="false">-PMT(C141/12,420-A141+1,D141)</f>
        <v>243965.960681775</v>
      </c>
      <c r="F141" s="24" t="n">
        <f aca="false">D141*C141/12</f>
        <v>91172.7838485366</v>
      </c>
      <c r="G141" s="24" t="n">
        <f aca="false">E141-F141</f>
        <v>152793.176833238</v>
      </c>
      <c r="H141" s="24" t="n">
        <f aca="false">D141-G141</f>
        <v>54550877.1322888</v>
      </c>
    </row>
    <row r="142" customFormat="false" ht="15" hidden="false" customHeight="false" outlineLevel="0" collapsed="false">
      <c r="A142" s="22" t="n">
        <v>141</v>
      </c>
      <c r="B142" s="22" t="n">
        <f aca="false">INT((A142-1)/12)+1</f>
        <v>12</v>
      </c>
      <c r="C142" s="23" t="n">
        <f aca="false">IF(B142&gt;=入力!$B$14,入力!$B$15,IF(B142&gt;=入力!$B$12,入力!$B$13,入力!$B$11))</f>
        <v>0.02</v>
      </c>
      <c r="D142" s="24" t="n">
        <f aca="false">H141</f>
        <v>54550877.1322888</v>
      </c>
      <c r="E142" s="24" t="n">
        <f aca="false">-PMT(C142/12,420-A142+1,D142)</f>
        <v>243965.960681775</v>
      </c>
      <c r="F142" s="24" t="n">
        <f aca="false">D142*C142/12</f>
        <v>90918.1285538146</v>
      </c>
      <c r="G142" s="24" t="n">
        <f aca="false">E142-F142</f>
        <v>153047.83212796</v>
      </c>
      <c r="H142" s="24" t="n">
        <f aca="false">D142-G142</f>
        <v>54397829.3001608</v>
      </c>
    </row>
    <row r="143" customFormat="false" ht="15" hidden="false" customHeight="false" outlineLevel="0" collapsed="false">
      <c r="A143" s="22" t="n">
        <v>142</v>
      </c>
      <c r="B143" s="22" t="n">
        <f aca="false">INT((A143-1)/12)+1</f>
        <v>12</v>
      </c>
      <c r="C143" s="23" t="n">
        <f aca="false">IF(B143&gt;=入力!$B$14,入力!$B$15,IF(B143&gt;=入力!$B$12,入力!$B$13,入力!$B$11))</f>
        <v>0.02</v>
      </c>
      <c r="D143" s="24" t="n">
        <f aca="false">H142</f>
        <v>54397829.3001608</v>
      </c>
      <c r="E143" s="24" t="n">
        <f aca="false">-PMT(C143/12,420-A143+1,D143)</f>
        <v>243965.960681775</v>
      </c>
      <c r="F143" s="24" t="n">
        <f aca="false">D143*C143/12</f>
        <v>90663.0488336013</v>
      </c>
      <c r="G143" s="24" t="n">
        <f aca="false">E143-F143</f>
        <v>153302.911848174</v>
      </c>
      <c r="H143" s="24" t="n">
        <f aca="false">D143-G143</f>
        <v>54244526.3883126</v>
      </c>
    </row>
    <row r="144" customFormat="false" ht="15" hidden="false" customHeight="false" outlineLevel="0" collapsed="false">
      <c r="A144" s="22" t="n">
        <v>143</v>
      </c>
      <c r="B144" s="22" t="n">
        <f aca="false">INT((A144-1)/12)+1</f>
        <v>12</v>
      </c>
      <c r="C144" s="23" t="n">
        <f aca="false">IF(B144&gt;=入力!$B$14,入力!$B$15,IF(B144&gt;=入力!$B$12,入力!$B$13,入力!$B$11))</f>
        <v>0.02</v>
      </c>
      <c r="D144" s="24" t="n">
        <f aca="false">H143</f>
        <v>54244526.3883126</v>
      </c>
      <c r="E144" s="24" t="n">
        <f aca="false">-PMT(C144/12,420-A144+1,D144)</f>
        <v>243965.960681775</v>
      </c>
      <c r="F144" s="24" t="n">
        <f aca="false">D144*C144/12</f>
        <v>90407.543980521</v>
      </c>
      <c r="G144" s="24" t="n">
        <f aca="false">E144-F144</f>
        <v>153558.416701254</v>
      </c>
      <c r="H144" s="24" t="n">
        <f aca="false">D144-G144</f>
        <v>54090967.9716114</v>
      </c>
    </row>
    <row r="145" customFormat="false" ht="15" hidden="false" customHeight="false" outlineLevel="0" collapsed="false">
      <c r="A145" s="22" t="n">
        <v>144</v>
      </c>
      <c r="B145" s="22" t="n">
        <f aca="false">INT((A145-1)/12)+1</f>
        <v>12</v>
      </c>
      <c r="C145" s="23" t="n">
        <f aca="false">IF(B145&gt;=入力!$B$14,入力!$B$15,IF(B145&gt;=入力!$B$12,入力!$B$13,入力!$B$11))</f>
        <v>0.02</v>
      </c>
      <c r="D145" s="24" t="n">
        <f aca="false">H144</f>
        <v>54090967.9716114</v>
      </c>
      <c r="E145" s="24" t="n">
        <f aca="false">-PMT(C145/12,420-A145+1,D145)</f>
        <v>243965.960681775</v>
      </c>
      <c r="F145" s="24" t="n">
        <f aca="false">D145*C145/12</f>
        <v>90151.6132860189</v>
      </c>
      <c r="G145" s="24" t="n">
        <f aca="false">E145-F145</f>
        <v>153814.347395756</v>
      </c>
      <c r="H145" s="24" t="n">
        <f aca="false">D145-G145</f>
        <v>53937153.6242156</v>
      </c>
    </row>
    <row r="146" customFormat="false" ht="15" hidden="false" customHeight="false" outlineLevel="0" collapsed="false">
      <c r="A146" s="22" t="n">
        <v>145</v>
      </c>
      <c r="B146" s="22" t="n">
        <f aca="false">INT((A146-1)/12)+1</f>
        <v>13</v>
      </c>
      <c r="C146" s="23" t="n">
        <f aca="false">IF(B146&gt;=入力!$B$14,入力!$B$15,IF(B146&gt;=入力!$B$12,入力!$B$13,入力!$B$11))</f>
        <v>0.02</v>
      </c>
      <c r="D146" s="24" t="n">
        <f aca="false">H145</f>
        <v>53937153.6242156</v>
      </c>
      <c r="E146" s="24" t="n">
        <f aca="false">-PMT(C146/12,420-A146+1,D146)</f>
        <v>243965.960681775</v>
      </c>
      <c r="F146" s="24" t="n">
        <f aca="false">D146*C146/12</f>
        <v>89895.2560403593</v>
      </c>
      <c r="G146" s="24" t="n">
        <f aca="false">E146-F146</f>
        <v>154070.704641415</v>
      </c>
      <c r="H146" s="24" t="n">
        <f aca="false">D146-G146</f>
        <v>53783082.9195742</v>
      </c>
    </row>
    <row r="147" customFormat="false" ht="15" hidden="false" customHeight="false" outlineLevel="0" collapsed="false">
      <c r="A147" s="22" t="n">
        <v>146</v>
      </c>
      <c r="B147" s="22" t="n">
        <f aca="false">INT((A147-1)/12)+1</f>
        <v>13</v>
      </c>
      <c r="C147" s="23" t="n">
        <f aca="false">IF(B147&gt;=入力!$B$14,入力!$B$15,IF(B147&gt;=入力!$B$12,入力!$B$13,入力!$B$11))</f>
        <v>0.02</v>
      </c>
      <c r="D147" s="24" t="n">
        <f aca="false">H146</f>
        <v>53783082.9195742</v>
      </c>
      <c r="E147" s="24" t="n">
        <f aca="false">-PMT(C147/12,420-A147+1,D147)</f>
        <v>243965.960681775</v>
      </c>
      <c r="F147" s="24" t="n">
        <f aca="false">D147*C147/12</f>
        <v>89638.4715326237</v>
      </c>
      <c r="G147" s="24" t="n">
        <f aca="false">E147-F147</f>
        <v>154327.489149151</v>
      </c>
      <c r="H147" s="24" t="n">
        <f aca="false">D147-G147</f>
        <v>53628755.430425</v>
      </c>
    </row>
    <row r="148" customFormat="false" ht="15" hidden="false" customHeight="false" outlineLevel="0" collapsed="false">
      <c r="A148" s="22" t="n">
        <v>147</v>
      </c>
      <c r="B148" s="22" t="n">
        <f aca="false">INT((A148-1)/12)+1</f>
        <v>13</v>
      </c>
      <c r="C148" s="23" t="n">
        <f aca="false">IF(B148&gt;=入力!$B$14,入力!$B$15,IF(B148&gt;=入力!$B$12,入力!$B$13,入力!$B$11))</f>
        <v>0.02</v>
      </c>
      <c r="D148" s="24" t="n">
        <f aca="false">H147</f>
        <v>53628755.430425</v>
      </c>
      <c r="E148" s="24" t="n">
        <f aca="false">-PMT(C148/12,420-A148+1,D148)</f>
        <v>243965.960681775</v>
      </c>
      <c r="F148" s="24" t="n">
        <f aca="false">D148*C148/12</f>
        <v>89381.2590507084</v>
      </c>
      <c r="G148" s="24" t="n">
        <f aca="false">E148-F148</f>
        <v>154584.701631066</v>
      </c>
      <c r="H148" s="24" t="n">
        <f aca="false">D148-G148</f>
        <v>53474170.728794</v>
      </c>
    </row>
    <row r="149" customFormat="false" ht="15" hidden="false" customHeight="false" outlineLevel="0" collapsed="false">
      <c r="A149" s="22" t="n">
        <v>148</v>
      </c>
      <c r="B149" s="22" t="n">
        <f aca="false">INT((A149-1)/12)+1</f>
        <v>13</v>
      </c>
      <c r="C149" s="23" t="n">
        <f aca="false">IF(B149&gt;=入力!$B$14,入力!$B$15,IF(B149&gt;=入力!$B$12,入力!$B$13,入力!$B$11))</f>
        <v>0.02</v>
      </c>
      <c r="D149" s="24" t="n">
        <f aca="false">H148</f>
        <v>53474170.728794</v>
      </c>
      <c r="E149" s="24" t="n">
        <f aca="false">-PMT(C149/12,420-A149+1,D149)</f>
        <v>243965.960681775</v>
      </c>
      <c r="F149" s="24" t="n">
        <f aca="false">D149*C149/12</f>
        <v>89123.6178813233</v>
      </c>
      <c r="G149" s="24" t="n">
        <f aca="false">E149-F149</f>
        <v>154842.342800451</v>
      </c>
      <c r="H149" s="24" t="n">
        <f aca="false">D149-G149</f>
        <v>53319328.3859935</v>
      </c>
    </row>
    <row r="150" customFormat="false" ht="15" hidden="false" customHeight="false" outlineLevel="0" collapsed="false">
      <c r="A150" s="22" t="n">
        <v>149</v>
      </c>
      <c r="B150" s="22" t="n">
        <f aca="false">INT((A150-1)/12)+1</f>
        <v>13</v>
      </c>
      <c r="C150" s="23" t="n">
        <f aca="false">IF(B150&gt;=入力!$B$14,入力!$B$15,IF(B150&gt;=入力!$B$12,入力!$B$13,入力!$B$11))</f>
        <v>0.02</v>
      </c>
      <c r="D150" s="24" t="n">
        <f aca="false">H149</f>
        <v>53319328.3859935</v>
      </c>
      <c r="E150" s="24" t="n">
        <f aca="false">-PMT(C150/12,420-A150+1,D150)</f>
        <v>243965.960681775</v>
      </c>
      <c r="F150" s="24" t="n">
        <f aca="false">D150*C150/12</f>
        <v>88865.5473099892</v>
      </c>
      <c r="G150" s="24" t="n">
        <f aca="false">E150-F150</f>
        <v>155100.413371786</v>
      </c>
      <c r="H150" s="24" t="n">
        <f aca="false">D150-G150</f>
        <v>53164227.9726217</v>
      </c>
    </row>
    <row r="151" customFormat="false" ht="15" hidden="false" customHeight="false" outlineLevel="0" collapsed="false">
      <c r="A151" s="22" t="n">
        <v>150</v>
      </c>
      <c r="B151" s="22" t="n">
        <f aca="false">INT((A151-1)/12)+1</f>
        <v>13</v>
      </c>
      <c r="C151" s="23" t="n">
        <f aca="false">IF(B151&gt;=入力!$B$14,入力!$B$15,IF(B151&gt;=入力!$B$12,入力!$B$13,入力!$B$11))</f>
        <v>0.02</v>
      </c>
      <c r="D151" s="24" t="n">
        <f aca="false">H150</f>
        <v>53164227.9726217</v>
      </c>
      <c r="E151" s="24" t="n">
        <f aca="false">-PMT(C151/12,420-A151+1,D151)</f>
        <v>243965.960681775</v>
      </c>
      <c r="F151" s="24" t="n">
        <f aca="false">D151*C151/12</f>
        <v>88607.0466210362</v>
      </c>
      <c r="G151" s="24" t="n">
        <f aca="false">E151-F151</f>
        <v>155358.914060739</v>
      </c>
      <c r="H151" s="24" t="n">
        <f aca="false">D151-G151</f>
        <v>53008869.058561</v>
      </c>
    </row>
    <row r="152" customFormat="false" ht="15" hidden="false" customHeight="false" outlineLevel="0" collapsed="false">
      <c r="A152" s="22" t="n">
        <v>151</v>
      </c>
      <c r="B152" s="22" t="n">
        <f aca="false">INT((A152-1)/12)+1</f>
        <v>13</v>
      </c>
      <c r="C152" s="23" t="n">
        <f aca="false">IF(B152&gt;=入力!$B$14,入力!$B$15,IF(B152&gt;=入力!$B$12,入力!$B$13,入力!$B$11))</f>
        <v>0.02</v>
      </c>
      <c r="D152" s="24" t="n">
        <f aca="false">H151</f>
        <v>53008869.058561</v>
      </c>
      <c r="E152" s="24" t="n">
        <f aca="false">-PMT(C152/12,420-A152+1,D152)</f>
        <v>243965.960681775</v>
      </c>
      <c r="F152" s="24" t="n">
        <f aca="false">D152*C152/12</f>
        <v>88348.1150976017</v>
      </c>
      <c r="G152" s="24" t="n">
        <f aca="false">E152-F152</f>
        <v>155617.845584173</v>
      </c>
      <c r="H152" s="24" t="n">
        <f aca="false">D152-G152</f>
        <v>52853251.2129768</v>
      </c>
    </row>
    <row r="153" customFormat="false" ht="15" hidden="false" customHeight="false" outlineLevel="0" collapsed="false">
      <c r="A153" s="22" t="n">
        <v>152</v>
      </c>
      <c r="B153" s="22" t="n">
        <f aca="false">INT((A153-1)/12)+1</f>
        <v>13</v>
      </c>
      <c r="C153" s="23" t="n">
        <f aca="false">IF(B153&gt;=入力!$B$14,入力!$B$15,IF(B153&gt;=入力!$B$12,入力!$B$13,入力!$B$11))</f>
        <v>0.02</v>
      </c>
      <c r="D153" s="24" t="n">
        <f aca="false">H152</f>
        <v>52853251.2129768</v>
      </c>
      <c r="E153" s="24" t="n">
        <f aca="false">-PMT(C153/12,420-A153+1,D153)</f>
        <v>243965.960681775</v>
      </c>
      <c r="F153" s="24" t="n">
        <f aca="false">D153*C153/12</f>
        <v>88088.752021628</v>
      </c>
      <c r="G153" s="24" t="n">
        <f aca="false">E153-F153</f>
        <v>155877.208660147</v>
      </c>
      <c r="H153" s="24" t="n">
        <f aca="false">D153-G153</f>
        <v>52697374.0043167</v>
      </c>
    </row>
    <row r="154" customFormat="false" ht="15" hidden="false" customHeight="false" outlineLevel="0" collapsed="false">
      <c r="A154" s="22" t="n">
        <v>153</v>
      </c>
      <c r="B154" s="22" t="n">
        <f aca="false">INT((A154-1)/12)+1</f>
        <v>13</v>
      </c>
      <c r="C154" s="23" t="n">
        <f aca="false">IF(B154&gt;=入力!$B$14,入力!$B$15,IF(B154&gt;=入力!$B$12,入力!$B$13,入力!$B$11))</f>
        <v>0.02</v>
      </c>
      <c r="D154" s="24" t="n">
        <f aca="false">H153</f>
        <v>52697374.0043167</v>
      </c>
      <c r="E154" s="24" t="n">
        <f aca="false">-PMT(C154/12,420-A154+1,D154)</f>
        <v>243965.960681775</v>
      </c>
      <c r="F154" s="24" t="n">
        <f aca="false">D154*C154/12</f>
        <v>87828.9566738611</v>
      </c>
      <c r="G154" s="24" t="n">
        <f aca="false">E154-F154</f>
        <v>156137.004007914</v>
      </c>
      <c r="H154" s="24" t="n">
        <f aca="false">D154-G154</f>
        <v>52541237.0003087</v>
      </c>
    </row>
    <row r="155" customFormat="false" ht="15" hidden="false" customHeight="false" outlineLevel="0" collapsed="false">
      <c r="A155" s="22" t="n">
        <v>154</v>
      </c>
      <c r="B155" s="22" t="n">
        <f aca="false">INT((A155-1)/12)+1</f>
        <v>13</v>
      </c>
      <c r="C155" s="23" t="n">
        <f aca="false">IF(B155&gt;=入力!$B$14,入力!$B$15,IF(B155&gt;=入力!$B$12,入力!$B$13,入力!$B$11))</f>
        <v>0.02</v>
      </c>
      <c r="D155" s="24" t="n">
        <f aca="false">H154</f>
        <v>52541237.0003087</v>
      </c>
      <c r="E155" s="24" t="n">
        <f aca="false">-PMT(C155/12,420-A155+1,D155)</f>
        <v>243965.960681775</v>
      </c>
      <c r="F155" s="24" t="n">
        <f aca="false">D155*C155/12</f>
        <v>87568.7283338479</v>
      </c>
      <c r="G155" s="24" t="n">
        <f aca="false">E155-F155</f>
        <v>156397.232347927</v>
      </c>
      <c r="H155" s="24" t="n">
        <f aca="false">D155-G155</f>
        <v>52384839.7679608</v>
      </c>
    </row>
    <row r="156" customFormat="false" ht="15" hidden="false" customHeight="false" outlineLevel="0" collapsed="false">
      <c r="A156" s="22" t="n">
        <v>155</v>
      </c>
      <c r="B156" s="22" t="n">
        <f aca="false">INT((A156-1)/12)+1</f>
        <v>13</v>
      </c>
      <c r="C156" s="23" t="n">
        <f aca="false">IF(B156&gt;=入力!$B$14,入力!$B$15,IF(B156&gt;=入力!$B$12,入力!$B$13,入力!$B$11))</f>
        <v>0.02</v>
      </c>
      <c r="D156" s="24" t="n">
        <f aca="false">H155</f>
        <v>52384839.7679608</v>
      </c>
      <c r="E156" s="24" t="n">
        <f aca="false">-PMT(C156/12,420-A156+1,D156)</f>
        <v>243965.960681775</v>
      </c>
      <c r="F156" s="24" t="n">
        <f aca="false">D156*C156/12</f>
        <v>87308.0662799347</v>
      </c>
      <c r="G156" s="24" t="n">
        <f aca="false">E156-F156</f>
        <v>156657.89440184</v>
      </c>
      <c r="H156" s="24" t="n">
        <f aca="false">D156-G156</f>
        <v>52228181.873559</v>
      </c>
    </row>
    <row r="157" customFormat="false" ht="15" hidden="false" customHeight="false" outlineLevel="0" collapsed="false">
      <c r="A157" s="22" t="n">
        <v>156</v>
      </c>
      <c r="B157" s="22" t="n">
        <f aca="false">INT((A157-1)/12)+1</f>
        <v>13</v>
      </c>
      <c r="C157" s="23" t="n">
        <f aca="false">IF(B157&gt;=入力!$B$14,入力!$B$15,IF(B157&gt;=入力!$B$12,入力!$B$13,入力!$B$11))</f>
        <v>0.02</v>
      </c>
      <c r="D157" s="24" t="n">
        <f aca="false">H156</f>
        <v>52228181.873559</v>
      </c>
      <c r="E157" s="24" t="n">
        <f aca="false">-PMT(C157/12,420-A157+1,D157)</f>
        <v>243965.960681775</v>
      </c>
      <c r="F157" s="24" t="n">
        <f aca="false">D157*C157/12</f>
        <v>87046.969789265</v>
      </c>
      <c r="G157" s="24" t="n">
        <f aca="false">E157-F157</f>
        <v>156918.99089251</v>
      </c>
      <c r="H157" s="24" t="n">
        <f aca="false">D157-G157</f>
        <v>52071262.8826665</v>
      </c>
    </row>
    <row r="158" customFormat="false" ht="15" hidden="false" customHeight="false" outlineLevel="0" collapsed="false">
      <c r="A158" s="22" t="n">
        <v>157</v>
      </c>
      <c r="B158" s="22" t="n">
        <f aca="false">INT((A158-1)/12)+1</f>
        <v>14</v>
      </c>
      <c r="C158" s="23" t="n">
        <f aca="false">IF(B158&gt;=入力!$B$14,入力!$B$15,IF(B158&gt;=入力!$B$12,入力!$B$13,入力!$B$11))</f>
        <v>0.02</v>
      </c>
      <c r="D158" s="24" t="n">
        <f aca="false">H157</f>
        <v>52071262.8826665</v>
      </c>
      <c r="E158" s="24" t="n">
        <f aca="false">-PMT(C158/12,420-A158+1,D158)</f>
        <v>243965.960681775</v>
      </c>
      <c r="F158" s="24" t="n">
        <f aca="false">D158*C158/12</f>
        <v>86785.4381377775</v>
      </c>
      <c r="G158" s="24" t="n">
        <f aca="false">E158-F158</f>
        <v>157180.522543997</v>
      </c>
      <c r="H158" s="24" t="n">
        <f aca="false">D158-G158</f>
        <v>51914082.3601225</v>
      </c>
    </row>
    <row r="159" customFormat="false" ht="15" hidden="false" customHeight="false" outlineLevel="0" collapsed="false">
      <c r="A159" s="22" t="n">
        <v>158</v>
      </c>
      <c r="B159" s="22" t="n">
        <f aca="false">INT((A159-1)/12)+1</f>
        <v>14</v>
      </c>
      <c r="C159" s="23" t="n">
        <f aca="false">IF(B159&gt;=入力!$B$14,入力!$B$15,IF(B159&gt;=入力!$B$12,入力!$B$13,入力!$B$11))</f>
        <v>0.02</v>
      </c>
      <c r="D159" s="24" t="n">
        <f aca="false">H158</f>
        <v>51914082.3601225</v>
      </c>
      <c r="E159" s="24" t="n">
        <f aca="false">-PMT(C159/12,420-A159+1,D159)</f>
        <v>243965.960681775</v>
      </c>
      <c r="F159" s="24" t="n">
        <f aca="false">D159*C159/12</f>
        <v>86523.4706002041</v>
      </c>
      <c r="G159" s="24" t="n">
        <f aca="false">E159-F159</f>
        <v>157442.490081571</v>
      </c>
      <c r="H159" s="24" t="n">
        <f aca="false">D159-G159</f>
        <v>51756639.8700409</v>
      </c>
    </row>
    <row r="160" customFormat="false" ht="15" hidden="false" customHeight="false" outlineLevel="0" collapsed="false">
      <c r="A160" s="22" t="n">
        <v>159</v>
      </c>
      <c r="B160" s="22" t="n">
        <f aca="false">INT((A160-1)/12)+1</f>
        <v>14</v>
      </c>
      <c r="C160" s="23" t="n">
        <f aca="false">IF(B160&gt;=入力!$B$14,入力!$B$15,IF(B160&gt;=入力!$B$12,入力!$B$13,入力!$B$11))</f>
        <v>0.02</v>
      </c>
      <c r="D160" s="24" t="n">
        <f aca="false">H159</f>
        <v>51756639.8700409</v>
      </c>
      <c r="E160" s="24" t="n">
        <f aca="false">-PMT(C160/12,420-A160+1,D160)</f>
        <v>243965.960681775</v>
      </c>
      <c r="F160" s="24" t="n">
        <f aca="false">D160*C160/12</f>
        <v>86261.0664500682</v>
      </c>
      <c r="G160" s="24" t="n">
        <f aca="false">E160-F160</f>
        <v>157704.894231707</v>
      </c>
      <c r="H160" s="24" t="n">
        <f aca="false">D160-G160</f>
        <v>51598934.9758092</v>
      </c>
    </row>
    <row r="161" customFormat="false" ht="15" hidden="false" customHeight="false" outlineLevel="0" collapsed="false">
      <c r="A161" s="22" t="n">
        <v>160</v>
      </c>
      <c r="B161" s="22" t="n">
        <f aca="false">INT((A161-1)/12)+1</f>
        <v>14</v>
      </c>
      <c r="C161" s="23" t="n">
        <f aca="false">IF(B161&gt;=入力!$B$14,入力!$B$15,IF(B161&gt;=入力!$B$12,入力!$B$13,入力!$B$11))</f>
        <v>0.02</v>
      </c>
      <c r="D161" s="24" t="n">
        <f aca="false">H160</f>
        <v>51598934.9758092</v>
      </c>
      <c r="E161" s="24" t="n">
        <f aca="false">-PMT(C161/12,420-A161+1,D161)</f>
        <v>243965.960681775</v>
      </c>
      <c r="F161" s="24" t="n">
        <f aca="false">D161*C161/12</f>
        <v>85998.224959682</v>
      </c>
      <c r="G161" s="24" t="n">
        <f aca="false">E161-F161</f>
        <v>157967.735722093</v>
      </c>
      <c r="H161" s="24" t="n">
        <f aca="false">D161-G161</f>
        <v>51440967.2400871</v>
      </c>
    </row>
    <row r="162" customFormat="false" ht="15" hidden="false" customHeight="false" outlineLevel="0" collapsed="false">
      <c r="A162" s="22" t="n">
        <v>161</v>
      </c>
      <c r="B162" s="22" t="n">
        <f aca="false">INT((A162-1)/12)+1</f>
        <v>14</v>
      </c>
      <c r="C162" s="23" t="n">
        <f aca="false">IF(B162&gt;=入力!$B$14,入力!$B$15,IF(B162&gt;=入力!$B$12,入力!$B$13,入力!$B$11))</f>
        <v>0.02</v>
      </c>
      <c r="D162" s="24" t="n">
        <f aca="false">H161</f>
        <v>51440967.2400871</v>
      </c>
      <c r="E162" s="24" t="n">
        <f aca="false">-PMT(C162/12,420-A162+1,D162)</f>
        <v>243965.960681775</v>
      </c>
      <c r="F162" s="24" t="n">
        <f aca="false">D162*C162/12</f>
        <v>85734.9454001452</v>
      </c>
      <c r="G162" s="24" t="n">
        <f aca="false">E162-F162</f>
        <v>158231.01528163</v>
      </c>
      <c r="H162" s="24" t="n">
        <f aca="false">D162-G162</f>
        <v>51282736.2248055</v>
      </c>
    </row>
    <row r="163" customFormat="false" ht="15" hidden="false" customHeight="false" outlineLevel="0" collapsed="false">
      <c r="A163" s="22" t="n">
        <v>162</v>
      </c>
      <c r="B163" s="22" t="n">
        <f aca="false">INT((A163-1)/12)+1</f>
        <v>14</v>
      </c>
      <c r="C163" s="23" t="n">
        <f aca="false">IF(B163&gt;=入力!$B$14,入力!$B$15,IF(B163&gt;=入力!$B$12,入力!$B$13,入力!$B$11))</f>
        <v>0.02</v>
      </c>
      <c r="D163" s="24" t="n">
        <f aca="false">H162</f>
        <v>51282736.2248055</v>
      </c>
      <c r="E163" s="24" t="n">
        <f aca="false">-PMT(C163/12,420-A163+1,D163)</f>
        <v>243965.960681775</v>
      </c>
      <c r="F163" s="24" t="n">
        <f aca="false">D163*C163/12</f>
        <v>85471.2270413425</v>
      </c>
      <c r="G163" s="24" t="n">
        <f aca="false">E163-F163</f>
        <v>158494.733640432</v>
      </c>
      <c r="H163" s="24" t="n">
        <f aca="false">D163-G163</f>
        <v>51124241.491165</v>
      </c>
    </row>
    <row r="164" customFormat="false" ht="15" hidden="false" customHeight="false" outlineLevel="0" collapsed="false">
      <c r="A164" s="22" t="n">
        <v>163</v>
      </c>
      <c r="B164" s="22" t="n">
        <f aca="false">INT((A164-1)/12)+1</f>
        <v>14</v>
      </c>
      <c r="C164" s="23" t="n">
        <f aca="false">IF(B164&gt;=入力!$B$14,入力!$B$15,IF(B164&gt;=入力!$B$12,入力!$B$13,入力!$B$11))</f>
        <v>0.02</v>
      </c>
      <c r="D164" s="24" t="n">
        <f aca="false">H163</f>
        <v>51124241.491165</v>
      </c>
      <c r="E164" s="24" t="n">
        <f aca="false">-PMT(C164/12,420-A164+1,D164)</f>
        <v>243965.960681775</v>
      </c>
      <c r="F164" s="24" t="n">
        <f aca="false">D164*C164/12</f>
        <v>85207.0691519417</v>
      </c>
      <c r="G164" s="24" t="n">
        <f aca="false">E164-F164</f>
        <v>158758.891529833</v>
      </c>
      <c r="H164" s="24" t="n">
        <f aca="false">D164-G164</f>
        <v>50965482.5996352</v>
      </c>
    </row>
    <row r="165" customFormat="false" ht="15" hidden="false" customHeight="false" outlineLevel="0" collapsed="false">
      <c r="A165" s="22" t="n">
        <v>164</v>
      </c>
      <c r="B165" s="22" t="n">
        <f aca="false">INT((A165-1)/12)+1</f>
        <v>14</v>
      </c>
      <c r="C165" s="23" t="n">
        <f aca="false">IF(B165&gt;=入力!$B$14,入力!$B$15,IF(B165&gt;=入力!$B$12,入力!$B$13,入力!$B$11))</f>
        <v>0.02</v>
      </c>
      <c r="D165" s="24" t="n">
        <f aca="false">H164</f>
        <v>50965482.5996352</v>
      </c>
      <c r="E165" s="24" t="n">
        <f aca="false">-PMT(C165/12,420-A165+1,D165)</f>
        <v>243965.960681775</v>
      </c>
      <c r="F165" s="24" t="n">
        <f aca="false">D165*C165/12</f>
        <v>84942.470999392</v>
      </c>
      <c r="G165" s="24" t="n">
        <f aca="false">E165-F165</f>
        <v>159023.489682383</v>
      </c>
      <c r="H165" s="24" t="n">
        <f aca="false">D165-G165</f>
        <v>50806459.1099528</v>
      </c>
    </row>
    <row r="166" customFormat="false" ht="15" hidden="false" customHeight="false" outlineLevel="0" collapsed="false">
      <c r="A166" s="22" t="n">
        <v>165</v>
      </c>
      <c r="B166" s="22" t="n">
        <f aca="false">INT((A166-1)/12)+1</f>
        <v>14</v>
      </c>
      <c r="C166" s="23" t="n">
        <f aca="false">IF(B166&gt;=入力!$B$14,入力!$B$15,IF(B166&gt;=入力!$B$12,入力!$B$13,入力!$B$11))</f>
        <v>0.02</v>
      </c>
      <c r="D166" s="24" t="n">
        <f aca="false">H165</f>
        <v>50806459.1099528</v>
      </c>
      <c r="E166" s="24" t="n">
        <f aca="false">-PMT(C166/12,420-A166+1,D166)</f>
        <v>243965.960681775</v>
      </c>
      <c r="F166" s="24" t="n">
        <f aca="false">D166*C166/12</f>
        <v>84677.4318499214</v>
      </c>
      <c r="G166" s="24" t="n">
        <f aca="false">E166-F166</f>
        <v>159288.528831853</v>
      </c>
      <c r="H166" s="24" t="n">
        <f aca="false">D166-G166</f>
        <v>50647170.581121</v>
      </c>
    </row>
    <row r="167" customFormat="false" ht="15" hidden="false" customHeight="false" outlineLevel="0" collapsed="false">
      <c r="A167" s="22" t="n">
        <v>166</v>
      </c>
      <c r="B167" s="22" t="n">
        <f aca="false">INT((A167-1)/12)+1</f>
        <v>14</v>
      </c>
      <c r="C167" s="23" t="n">
        <f aca="false">IF(B167&gt;=入力!$B$14,入力!$B$15,IF(B167&gt;=入力!$B$12,入力!$B$13,入力!$B$11))</f>
        <v>0.02</v>
      </c>
      <c r="D167" s="24" t="n">
        <f aca="false">H166</f>
        <v>50647170.581121</v>
      </c>
      <c r="E167" s="24" t="n">
        <f aca="false">-PMT(C167/12,420-A167+1,D167)</f>
        <v>243965.960681775</v>
      </c>
      <c r="F167" s="24" t="n">
        <f aca="false">D167*C167/12</f>
        <v>84411.9509685349</v>
      </c>
      <c r="G167" s="24" t="n">
        <f aca="false">E167-F167</f>
        <v>159554.00971324</v>
      </c>
      <c r="H167" s="24" t="n">
        <f aca="false">D167-G167</f>
        <v>50487616.5714077</v>
      </c>
    </row>
    <row r="168" customFormat="false" ht="15" hidden="false" customHeight="false" outlineLevel="0" collapsed="false">
      <c r="A168" s="22" t="n">
        <v>167</v>
      </c>
      <c r="B168" s="22" t="n">
        <f aca="false">INT((A168-1)/12)+1</f>
        <v>14</v>
      </c>
      <c r="C168" s="23" t="n">
        <f aca="false">IF(B168&gt;=入力!$B$14,入力!$B$15,IF(B168&gt;=入力!$B$12,入力!$B$13,入力!$B$11))</f>
        <v>0.02</v>
      </c>
      <c r="D168" s="24" t="n">
        <f aca="false">H167</f>
        <v>50487616.5714077</v>
      </c>
      <c r="E168" s="24" t="n">
        <f aca="false">-PMT(C168/12,420-A168+1,D168)</f>
        <v>243965.960681775</v>
      </c>
      <c r="F168" s="24" t="n">
        <f aca="false">D168*C168/12</f>
        <v>84146.0276190129</v>
      </c>
      <c r="G168" s="24" t="n">
        <f aca="false">E168-F168</f>
        <v>159819.933062762</v>
      </c>
      <c r="H168" s="24" t="n">
        <f aca="false">D168-G168</f>
        <v>50327796.638345</v>
      </c>
    </row>
    <row r="169" customFormat="false" ht="15" hidden="false" customHeight="false" outlineLevel="0" collapsed="false">
      <c r="A169" s="22" t="n">
        <v>168</v>
      </c>
      <c r="B169" s="22" t="n">
        <f aca="false">INT((A169-1)/12)+1</f>
        <v>14</v>
      </c>
      <c r="C169" s="23" t="n">
        <f aca="false">IF(B169&gt;=入力!$B$14,入力!$B$15,IF(B169&gt;=入力!$B$12,入力!$B$13,入力!$B$11))</f>
        <v>0.02</v>
      </c>
      <c r="D169" s="24" t="n">
        <f aca="false">H168</f>
        <v>50327796.638345</v>
      </c>
      <c r="E169" s="24" t="n">
        <f aca="false">-PMT(C169/12,420-A169+1,D169)</f>
        <v>243965.960681775</v>
      </c>
      <c r="F169" s="24" t="n">
        <f aca="false">D169*C169/12</f>
        <v>83879.6610639083</v>
      </c>
      <c r="G169" s="24" t="n">
        <f aca="false">E169-F169</f>
        <v>160086.299617866</v>
      </c>
      <c r="H169" s="24" t="n">
        <f aca="false">D169-G169</f>
        <v>50167710.3387271</v>
      </c>
    </row>
    <row r="170" customFormat="false" ht="15" hidden="false" customHeight="false" outlineLevel="0" collapsed="false">
      <c r="A170" s="22" t="n">
        <v>169</v>
      </c>
      <c r="B170" s="22" t="n">
        <f aca="false">INT((A170-1)/12)+1</f>
        <v>15</v>
      </c>
      <c r="C170" s="23" t="n">
        <f aca="false">IF(B170&gt;=入力!$B$14,入力!$B$15,IF(B170&gt;=入力!$B$12,入力!$B$13,入力!$B$11))</f>
        <v>0.02</v>
      </c>
      <c r="D170" s="24" t="n">
        <f aca="false">H169</f>
        <v>50167710.3387271</v>
      </c>
      <c r="E170" s="24" t="n">
        <f aca="false">-PMT(C170/12,420-A170+1,D170)</f>
        <v>243965.960681775</v>
      </c>
      <c r="F170" s="24" t="n">
        <f aca="false">D170*C170/12</f>
        <v>83612.8505645452</v>
      </c>
      <c r="G170" s="24" t="n">
        <f aca="false">E170-F170</f>
        <v>160353.11011723</v>
      </c>
      <c r="H170" s="24" t="n">
        <f aca="false">D170-G170</f>
        <v>50007357.2286099</v>
      </c>
    </row>
    <row r="171" customFormat="false" ht="15" hidden="false" customHeight="false" outlineLevel="0" collapsed="false">
      <c r="A171" s="22" t="n">
        <v>170</v>
      </c>
      <c r="B171" s="22" t="n">
        <f aca="false">INT((A171-1)/12)+1</f>
        <v>15</v>
      </c>
      <c r="C171" s="23" t="n">
        <f aca="false">IF(B171&gt;=入力!$B$14,入力!$B$15,IF(B171&gt;=入力!$B$12,入力!$B$13,入力!$B$11))</f>
        <v>0.02</v>
      </c>
      <c r="D171" s="24" t="n">
        <f aca="false">H170</f>
        <v>50007357.2286099</v>
      </c>
      <c r="E171" s="24" t="n">
        <f aca="false">-PMT(C171/12,420-A171+1,D171)</f>
        <v>243965.960681775</v>
      </c>
      <c r="F171" s="24" t="n">
        <f aca="false">D171*C171/12</f>
        <v>83345.5953810165</v>
      </c>
      <c r="G171" s="24" t="n">
        <f aca="false">E171-F171</f>
        <v>160620.365300758</v>
      </c>
      <c r="H171" s="24" t="n">
        <f aca="false">D171-G171</f>
        <v>49846736.8633091</v>
      </c>
    </row>
    <row r="172" customFormat="false" ht="15" hidden="false" customHeight="false" outlineLevel="0" collapsed="false">
      <c r="A172" s="22" t="n">
        <v>171</v>
      </c>
      <c r="B172" s="22" t="n">
        <f aca="false">INT((A172-1)/12)+1</f>
        <v>15</v>
      </c>
      <c r="C172" s="23" t="n">
        <f aca="false">IF(B172&gt;=入力!$B$14,入力!$B$15,IF(B172&gt;=入力!$B$12,入力!$B$13,入力!$B$11))</f>
        <v>0.02</v>
      </c>
      <c r="D172" s="24" t="n">
        <f aca="false">H171</f>
        <v>49846736.8633091</v>
      </c>
      <c r="E172" s="24" t="n">
        <f aca="false">-PMT(C172/12,420-A172+1,D172)</f>
        <v>243965.960681775</v>
      </c>
      <c r="F172" s="24" t="n">
        <f aca="false">D172*C172/12</f>
        <v>83077.8947721819</v>
      </c>
      <c r="G172" s="24" t="n">
        <f aca="false">E172-F172</f>
        <v>160888.065909593</v>
      </c>
      <c r="H172" s="24" t="n">
        <f aca="false">D172-G172</f>
        <v>49685848.7973995</v>
      </c>
    </row>
    <row r="173" customFormat="false" ht="15" hidden="false" customHeight="false" outlineLevel="0" collapsed="false">
      <c r="A173" s="22" t="n">
        <v>172</v>
      </c>
      <c r="B173" s="22" t="n">
        <f aca="false">INT((A173-1)/12)+1</f>
        <v>15</v>
      </c>
      <c r="C173" s="23" t="n">
        <f aca="false">IF(B173&gt;=入力!$B$14,入力!$B$15,IF(B173&gt;=入力!$B$12,入力!$B$13,入力!$B$11))</f>
        <v>0.02</v>
      </c>
      <c r="D173" s="24" t="n">
        <f aca="false">H172</f>
        <v>49685848.7973995</v>
      </c>
      <c r="E173" s="24" t="n">
        <f aca="false">-PMT(C173/12,420-A173+1,D173)</f>
        <v>243965.960681775</v>
      </c>
      <c r="F173" s="24" t="n">
        <f aca="false">D173*C173/12</f>
        <v>82809.7479956659</v>
      </c>
      <c r="G173" s="24" t="n">
        <f aca="false">E173-F173</f>
        <v>161156.212686109</v>
      </c>
      <c r="H173" s="24" t="n">
        <f aca="false">D173-G173</f>
        <v>49524692.5847134</v>
      </c>
    </row>
    <row r="174" customFormat="false" ht="15" hidden="false" customHeight="false" outlineLevel="0" collapsed="false">
      <c r="A174" s="22" t="n">
        <v>173</v>
      </c>
      <c r="B174" s="22" t="n">
        <f aca="false">INT((A174-1)/12)+1</f>
        <v>15</v>
      </c>
      <c r="C174" s="23" t="n">
        <f aca="false">IF(B174&gt;=入力!$B$14,入力!$B$15,IF(B174&gt;=入力!$B$12,入力!$B$13,入力!$B$11))</f>
        <v>0.02</v>
      </c>
      <c r="D174" s="24" t="n">
        <f aca="false">H173</f>
        <v>49524692.5847134</v>
      </c>
      <c r="E174" s="24" t="n">
        <f aca="false">-PMT(C174/12,420-A174+1,D174)</f>
        <v>243965.960681775</v>
      </c>
      <c r="F174" s="24" t="n">
        <f aca="false">D174*C174/12</f>
        <v>82541.1543078557</v>
      </c>
      <c r="G174" s="24" t="n">
        <f aca="false">E174-F174</f>
        <v>161424.806373919</v>
      </c>
      <c r="H174" s="24" t="n">
        <f aca="false">D174-G174</f>
        <v>49363267.7783395</v>
      </c>
    </row>
    <row r="175" customFormat="false" ht="15" hidden="false" customHeight="false" outlineLevel="0" collapsed="false">
      <c r="A175" s="22" t="n">
        <v>174</v>
      </c>
      <c r="B175" s="22" t="n">
        <f aca="false">INT((A175-1)/12)+1</f>
        <v>15</v>
      </c>
      <c r="C175" s="23" t="n">
        <f aca="false">IF(B175&gt;=入力!$B$14,入力!$B$15,IF(B175&gt;=入力!$B$12,入力!$B$13,入力!$B$11))</f>
        <v>0.02</v>
      </c>
      <c r="D175" s="24" t="n">
        <f aca="false">H174</f>
        <v>49363267.7783395</v>
      </c>
      <c r="E175" s="24" t="n">
        <f aca="false">-PMT(C175/12,420-A175+1,D175)</f>
        <v>243965.960681775</v>
      </c>
      <c r="F175" s="24" t="n">
        <f aca="false">D175*C175/12</f>
        <v>82272.1129638992</v>
      </c>
      <c r="G175" s="24" t="n">
        <f aca="false">E175-F175</f>
        <v>161693.847717876</v>
      </c>
      <c r="H175" s="24" t="n">
        <f aca="false">D175-G175</f>
        <v>49201573.9306216</v>
      </c>
    </row>
    <row r="176" customFormat="false" ht="15" hidden="false" customHeight="false" outlineLevel="0" collapsed="false">
      <c r="A176" s="22" t="n">
        <v>175</v>
      </c>
      <c r="B176" s="22" t="n">
        <f aca="false">INT((A176-1)/12)+1</f>
        <v>15</v>
      </c>
      <c r="C176" s="23" t="n">
        <f aca="false">IF(B176&gt;=入力!$B$14,入力!$B$15,IF(B176&gt;=入力!$B$12,入力!$B$13,入力!$B$11))</f>
        <v>0.02</v>
      </c>
      <c r="D176" s="24" t="n">
        <f aca="false">H175</f>
        <v>49201573.9306216</v>
      </c>
      <c r="E176" s="24" t="n">
        <f aca="false">-PMT(C176/12,420-A176+1,D176)</f>
        <v>243965.960681775</v>
      </c>
      <c r="F176" s="24" t="n">
        <f aca="false">D176*C176/12</f>
        <v>82002.6232177027</v>
      </c>
      <c r="G176" s="24" t="n">
        <f aca="false">E176-F176</f>
        <v>161963.337464072</v>
      </c>
      <c r="H176" s="24" t="n">
        <f aca="false">D176-G176</f>
        <v>49039610.5931575</v>
      </c>
    </row>
    <row r="177" customFormat="false" ht="15" hidden="false" customHeight="false" outlineLevel="0" collapsed="false">
      <c r="A177" s="22" t="n">
        <v>176</v>
      </c>
      <c r="B177" s="22" t="n">
        <f aca="false">INT((A177-1)/12)+1</f>
        <v>15</v>
      </c>
      <c r="C177" s="23" t="n">
        <f aca="false">IF(B177&gt;=入力!$B$14,入力!$B$15,IF(B177&gt;=入力!$B$12,入力!$B$13,入力!$B$11))</f>
        <v>0.02</v>
      </c>
      <c r="D177" s="24" t="n">
        <f aca="false">H176</f>
        <v>49039610.5931575</v>
      </c>
      <c r="E177" s="24" t="n">
        <f aca="false">-PMT(C177/12,420-A177+1,D177)</f>
        <v>243965.960681775</v>
      </c>
      <c r="F177" s="24" t="n">
        <f aca="false">D177*C177/12</f>
        <v>81732.6843219293</v>
      </c>
      <c r="G177" s="24" t="n">
        <f aca="false">E177-F177</f>
        <v>162233.276359845</v>
      </c>
      <c r="H177" s="24" t="n">
        <f aca="false">D177-G177</f>
        <v>48877377.3167977</v>
      </c>
    </row>
    <row r="178" customFormat="false" ht="15" hidden="false" customHeight="false" outlineLevel="0" collapsed="false">
      <c r="A178" s="22" t="n">
        <v>177</v>
      </c>
      <c r="B178" s="22" t="n">
        <f aca="false">INT((A178-1)/12)+1</f>
        <v>15</v>
      </c>
      <c r="C178" s="23" t="n">
        <f aca="false">IF(B178&gt;=入力!$B$14,入力!$B$15,IF(B178&gt;=入力!$B$12,入力!$B$13,入力!$B$11))</f>
        <v>0.02</v>
      </c>
      <c r="D178" s="24" t="n">
        <f aca="false">H177</f>
        <v>48877377.3167977</v>
      </c>
      <c r="E178" s="24" t="n">
        <f aca="false">-PMT(C178/12,420-A178+1,D178)</f>
        <v>243965.960681775</v>
      </c>
      <c r="F178" s="24" t="n">
        <f aca="false">D178*C178/12</f>
        <v>81462.2955279962</v>
      </c>
      <c r="G178" s="24" t="n">
        <f aca="false">E178-F178</f>
        <v>162503.665153779</v>
      </c>
      <c r="H178" s="24" t="n">
        <f aca="false">D178-G178</f>
        <v>48714873.6516439</v>
      </c>
    </row>
    <row r="179" customFormat="false" ht="15" hidden="false" customHeight="false" outlineLevel="0" collapsed="false">
      <c r="A179" s="22" t="n">
        <v>178</v>
      </c>
      <c r="B179" s="22" t="n">
        <f aca="false">INT((A179-1)/12)+1</f>
        <v>15</v>
      </c>
      <c r="C179" s="23" t="n">
        <f aca="false">IF(B179&gt;=入力!$B$14,入力!$B$15,IF(B179&gt;=入力!$B$12,入力!$B$13,入力!$B$11))</f>
        <v>0.02</v>
      </c>
      <c r="D179" s="24" t="n">
        <f aca="false">H178</f>
        <v>48714873.6516439</v>
      </c>
      <c r="E179" s="24" t="n">
        <f aca="false">-PMT(C179/12,420-A179+1,D179)</f>
        <v>243965.960681775</v>
      </c>
      <c r="F179" s="24" t="n">
        <f aca="false">D179*C179/12</f>
        <v>81191.4560860732</v>
      </c>
      <c r="G179" s="24" t="n">
        <f aca="false">E179-F179</f>
        <v>162774.504595702</v>
      </c>
      <c r="H179" s="24" t="n">
        <f aca="false">D179-G179</f>
        <v>48552099.1470482</v>
      </c>
    </row>
    <row r="180" customFormat="false" ht="15" hidden="false" customHeight="false" outlineLevel="0" collapsed="false">
      <c r="A180" s="22" t="n">
        <v>179</v>
      </c>
      <c r="B180" s="22" t="n">
        <f aca="false">INT((A180-1)/12)+1</f>
        <v>15</v>
      </c>
      <c r="C180" s="23" t="n">
        <f aca="false">IF(B180&gt;=入力!$B$14,入力!$B$15,IF(B180&gt;=入力!$B$12,入力!$B$13,入力!$B$11))</f>
        <v>0.02</v>
      </c>
      <c r="D180" s="24" t="n">
        <f aca="false">H179</f>
        <v>48552099.1470482</v>
      </c>
      <c r="E180" s="24" t="n">
        <f aca="false">-PMT(C180/12,420-A180+1,D180)</f>
        <v>243965.960681775</v>
      </c>
      <c r="F180" s="24" t="n">
        <f aca="false">D180*C180/12</f>
        <v>80920.1652450804</v>
      </c>
      <c r="G180" s="24" t="n">
        <f aca="false">E180-F180</f>
        <v>163045.795436694</v>
      </c>
      <c r="H180" s="24" t="n">
        <f aca="false">D180-G180</f>
        <v>48389053.3516115</v>
      </c>
    </row>
    <row r="181" customFormat="false" ht="15" hidden="false" customHeight="false" outlineLevel="0" collapsed="false">
      <c r="A181" s="22" t="n">
        <v>180</v>
      </c>
      <c r="B181" s="22" t="n">
        <f aca="false">INT((A181-1)/12)+1</f>
        <v>15</v>
      </c>
      <c r="C181" s="23" t="n">
        <f aca="false">IF(B181&gt;=入力!$B$14,入力!$B$15,IF(B181&gt;=入力!$B$12,入力!$B$13,入力!$B$11))</f>
        <v>0.02</v>
      </c>
      <c r="D181" s="24" t="n">
        <f aca="false">H180</f>
        <v>48389053.3516115</v>
      </c>
      <c r="E181" s="24" t="n">
        <f aca="false">-PMT(C181/12,420-A181+1,D181)</f>
        <v>243965.960681775</v>
      </c>
      <c r="F181" s="24" t="n">
        <f aca="false">D181*C181/12</f>
        <v>80648.4222526859</v>
      </c>
      <c r="G181" s="24" t="n">
        <f aca="false">E181-F181</f>
        <v>163317.538429089</v>
      </c>
      <c r="H181" s="24" t="n">
        <f aca="false">D181-G181</f>
        <v>48225735.8131824</v>
      </c>
    </row>
    <row r="182" customFormat="false" ht="15" hidden="false" customHeight="false" outlineLevel="0" collapsed="false">
      <c r="A182" s="22" t="n">
        <v>181</v>
      </c>
      <c r="B182" s="22" t="n">
        <f aca="false">INT((A182-1)/12)+1</f>
        <v>16</v>
      </c>
      <c r="C182" s="23" t="n">
        <f aca="false">IF(B182&gt;=入力!$B$14,入力!$B$15,IF(B182&gt;=入力!$B$12,入力!$B$13,入力!$B$11))</f>
        <v>0.02</v>
      </c>
      <c r="D182" s="24" t="n">
        <f aca="false">H181</f>
        <v>48225735.8131824</v>
      </c>
      <c r="E182" s="24" t="n">
        <f aca="false">-PMT(C182/12,420-A182+1,D182)</f>
        <v>243965.960681775</v>
      </c>
      <c r="F182" s="24" t="n">
        <f aca="false">D182*C182/12</f>
        <v>80376.2263553041</v>
      </c>
      <c r="G182" s="24" t="n">
        <f aca="false">E182-F182</f>
        <v>163589.734326471</v>
      </c>
      <c r="H182" s="24" t="n">
        <f aca="false">D182-G182</f>
        <v>48062146.078856</v>
      </c>
    </row>
    <row r="183" customFormat="false" ht="15" hidden="false" customHeight="false" outlineLevel="0" collapsed="false">
      <c r="A183" s="22" t="n">
        <v>182</v>
      </c>
      <c r="B183" s="22" t="n">
        <f aca="false">INT((A183-1)/12)+1</f>
        <v>16</v>
      </c>
      <c r="C183" s="23" t="n">
        <f aca="false">IF(B183&gt;=入力!$B$14,入力!$B$15,IF(B183&gt;=入力!$B$12,入力!$B$13,入力!$B$11))</f>
        <v>0.02</v>
      </c>
      <c r="D183" s="24" t="n">
        <f aca="false">H182</f>
        <v>48062146.078856</v>
      </c>
      <c r="E183" s="24" t="n">
        <f aca="false">-PMT(C183/12,420-A183+1,D183)</f>
        <v>243965.960681775</v>
      </c>
      <c r="F183" s="24" t="n">
        <f aca="false">D183*C183/12</f>
        <v>80103.5767980933</v>
      </c>
      <c r="G183" s="24" t="n">
        <f aca="false">E183-F183</f>
        <v>163862.383883681</v>
      </c>
      <c r="H183" s="24" t="n">
        <f aca="false">D183-G183</f>
        <v>47898283.6949723</v>
      </c>
    </row>
    <row r="184" customFormat="false" ht="15" hidden="false" customHeight="false" outlineLevel="0" collapsed="false">
      <c r="A184" s="22" t="n">
        <v>183</v>
      </c>
      <c r="B184" s="22" t="n">
        <f aca="false">INT((A184-1)/12)+1</f>
        <v>16</v>
      </c>
      <c r="C184" s="23" t="n">
        <f aca="false">IF(B184&gt;=入力!$B$14,入力!$B$15,IF(B184&gt;=入力!$B$12,入力!$B$13,入力!$B$11))</f>
        <v>0.02</v>
      </c>
      <c r="D184" s="24" t="n">
        <f aca="false">H183</f>
        <v>47898283.6949723</v>
      </c>
      <c r="E184" s="24" t="n">
        <f aca="false">-PMT(C184/12,420-A184+1,D184)</f>
        <v>243965.960681775</v>
      </c>
      <c r="F184" s="24" t="n">
        <f aca="false">D184*C184/12</f>
        <v>79830.4728249538</v>
      </c>
      <c r="G184" s="24" t="n">
        <f aca="false">E184-F184</f>
        <v>164135.487856821</v>
      </c>
      <c r="H184" s="24" t="n">
        <f aca="false">D184-G184</f>
        <v>47734148.2071155</v>
      </c>
    </row>
    <row r="185" customFormat="false" ht="15" hidden="false" customHeight="false" outlineLevel="0" collapsed="false">
      <c r="A185" s="22" t="n">
        <v>184</v>
      </c>
      <c r="B185" s="22" t="n">
        <f aca="false">INT((A185-1)/12)+1</f>
        <v>16</v>
      </c>
      <c r="C185" s="23" t="n">
        <f aca="false">IF(B185&gt;=入力!$B$14,入力!$B$15,IF(B185&gt;=入力!$B$12,入力!$B$13,入力!$B$11))</f>
        <v>0.02</v>
      </c>
      <c r="D185" s="24" t="n">
        <f aca="false">H184</f>
        <v>47734148.2071155</v>
      </c>
      <c r="E185" s="24" t="n">
        <f aca="false">-PMT(C185/12,420-A185+1,D185)</f>
        <v>243965.960681775</v>
      </c>
      <c r="F185" s="24" t="n">
        <f aca="false">D185*C185/12</f>
        <v>79556.9136785258</v>
      </c>
      <c r="G185" s="24" t="n">
        <f aca="false">E185-F185</f>
        <v>164409.047003249</v>
      </c>
      <c r="H185" s="24" t="n">
        <f aca="false">D185-G185</f>
        <v>47569739.1601122</v>
      </c>
    </row>
    <row r="186" customFormat="false" ht="15" hidden="false" customHeight="false" outlineLevel="0" collapsed="false">
      <c r="A186" s="22" t="n">
        <v>185</v>
      </c>
      <c r="B186" s="22" t="n">
        <f aca="false">INT((A186-1)/12)+1</f>
        <v>16</v>
      </c>
      <c r="C186" s="23" t="n">
        <f aca="false">IF(B186&gt;=入力!$B$14,入力!$B$15,IF(B186&gt;=入力!$B$12,入力!$B$13,入力!$B$11))</f>
        <v>0.02</v>
      </c>
      <c r="D186" s="24" t="n">
        <f aca="false">H185</f>
        <v>47569739.1601122</v>
      </c>
      <c r="E186" s="24" t="n">
        <f aca="false">-PMT(C186/12,420-A186+1,D186)</f>
        <v>243965.960681775</v>
      </c>
      <c r="F186" s="24" t="n">
        <f aca="false">D186*C186/12</f>
        <v>79282.898600187</v>
      </c>
      <c r="G186" s="24" t="n">
        <f aca="false">E186-F186</f>
        <v>164683.062081588</v>
      </c>
      <c r="H186" s="24" t="n">
        <f aca="false">D186-G186</f>
        <v>47405056.0980306</v>
      </c>
    </row>
    <row r="187" customFormat="false" ht="15" hidden="false" customHeight="false" outlineLevel="0" collapsed="false">
      <c r="A187" s="22" t="n">
        <v>186</v>
      </c>
      <c r="B187" s="22" t="n">
        <f aca="false">INT((A187-1)/12)+1</f>
        <v>16</v>
      </c>
      <c r="C187" s="23" t="n">
        <f aca="false">IF(B187&gt;=入力!$B$14,入力!$B$15,IF(B187&gt;=入力!$B$12,入力!$B$13,入力!$B$11))</f>
        <v>0.02</v>
      </c>
      <c r="D187" s="24" t="n">
        <f aca="false">H186</f>
        <v>47405056.0980306</v>
      </c>
      <c r="E187" s="24" t="n">
        <f aca="false">-PMT(C187/12,420-A187+1,D187)</f>
        <v>243965.960681775</v>
      </c>
      <c r="F187" s="24" t="n">
        <f aca="false">D187*C187/12</f>
        <v>79008.426830051</v>
      </c>
      <c r="G187" s="24" t="n">
        <f aca="false">E187-F187</f>
        <v>164957.533851724</v>
      </c>
      <c r="H187" s="24" t="n">
        <f aca="false">D187-G187</f>
        <v>47240098.5641789</v>
      </c>
    </row>
    <row r="188" customFormat="false" ht="15" hidden="false" customHeight="false" outlineLevel="0" collapsed="false">
      <c r="A188" s="22" t="n">
        <v>187</v>
      </c>
      <c r="B188" s="22" t="n">
        <f aca="false">INT((A188-1)/12)+1</f>
        <v>16</v>
      </c>
      <c r="C188" s="23" t="n">
        <f aca="false">IF(B188&gt;=入力!$B$14,入力!$B$15,IF(B188&gt;=入力!$B$12,入力!$B$13,入力!$B$11))</f>
        <v>0.02</v>
      </c>
      <c r="D188" s="24" t="n">
        <f aca="false">H187</f>
        <v>47240098.5641789</v>
      </c>
      <c r="E188" s="24" t="n">
        <f aca="false">-PMT(C188/12,420-A188+1,D188)</f>
        <v>243965.960681775</v>
      </c>
      <c r="F188" s="24" t="n">
        <f aca="false">D188*C188/12</f>
        <v>78733.4976069648</v>
      </c>
      <c r="G188" s="24" t="n">
        <f aca="false">E188-F188</f>
        <v>165232.46307481</v>
      </c>
      <c r="H188" s="24" t="n">
        <f aca="false">D188-G188</f>
        <v>47074866.1011041</v>
      </c>
    </row>
    <row r="189" customFormat="false" ht="15" hidden="false" customHeight="false" outlineLevel="0" collapsed="false">
      <c r="A189" s="22" t="n">
        <v>188</v>
      </c>
      <c r="B189" s="22" t="n">
        <f aca="false">INT((A189-1)/12)+1</f>
        <v>16</v>
      </c>
      <c r="C189" s="23" t="n">
        <f aca="false">IF(B189&gt;=入力!$B$14,入力!$B$15,IF(B189&gt;=入力!$B$12,入力!$B$13,入力!$B$11))</f>
        <v>0.02</v>
      </c>
      <c r="D189" s="24" t="n">
        <f aca="false">H188</f>
        <v>47074866.1011041</v>
      </c>
      <c r="E189" s="24" t="n">
        <f aca="false">-PMT(C189/12,420-A189+1,D189)</f>
        <v>243965.960681775</v>
      </c>
      <c r="F189" s="24" t="n">
        <f aca="false">D189*C189/12</f>
        <v>78458.1101685068</v>
      </c>
      <c r="G189" s="24" t="n">
        <f aca="false">E189-F189</f>
        <v>165507.850513268</v>
      </c>
      <c r="H189" s="24" t="n">
        <f aca="false">D189-G189</f>
        <v>46909358.2505908</v>
      </c>
    </row>
    <row r="190" customFormat="false" ht="15" hidden="false" customHeight="false" outlineLevel="0" collapsed="false">
      <c r="A190" s="22" t="n">
        <v>189</v>
      </c>
      <c r="B190" s="22" t="n">
        <f aca="false">INT((A190-1)/12)+1</f>
        <v>16</v>
      </c>
      <c r="C190" s="23" t="n">
        <f aca="false">IF(B190&gt;=入力!$B$14,入力!$B$15,IF(B190&gt;=入力!$B$12,入力!$B$13,入力!$B$11))</f>
        <v>0.02</v>
      </c>
      <c r="D190" s="24" t="n">
        <f aca="false">H189</f>
        <v>46909358.2505908</v>
      </c>
      <c r="E190" s="24" t="n">
        <f aca="false">-PMT(C190/12,420-A190+1,D190)</f>
        <v>243965.960681775</v>
      </c>
      <c r="F190" s="24" t="n">
        <f aca="false">D190*C190/12</f>
        <v>78182.2637509847</v>
      </c>
      <c r="G190" s="24" t="n">
        <f aca="false">E190-F190</f>
        <v>165783.69693079</v>
      </c>
      <c r="H190" s="24" t="n">
        <f aca="false">D190-G190</f>
        <v>46743574.55366</v>
      </c>
    </row>
    <row r="191" customFormat="false" ht="15" hidden="false" customHeight="false" outlineLevel="0" collapsed="false">
      <c r="A191" s="22" t="n">
        <v>190</v>
      </c>
      <c r="B191" s="22" t="n">
        <f aca="false">INT((A191-1)/12)+1</f>
        <v>16</v>
      </c>
      <c r="C191" s="23" t="n">
        <f aca="false">IF(B191&gt;=入力!$B$14,入力!$B$15,IF(B191&gt;=入力!$B$12,入力!$B$13,入力!$B$11))</f>
        <v>0.02</v>
      </c>
      <c r="D191" s="24" t="n">
        <f aca="false">H190</f>
        <v>46743574.55366</v>
      </c>
      <c r="E191" s="24" t="n">
        <f aca="false">-PMT(C191/12,420-A191+1,D191)</f>
        <v>243965.960681775</v>
      </c>
      <c r="F191" s="24" t="n">
        <f aca="false">D191*C191/12</f>
        <v>77905.9575894334</v>
      </c>
      <c r="G191" s="24" t="n">
        <f aca="false">E191-F191</f>
        <v>166060.003092341</v>
      </c>
      <c r="H191" s="24" t="n">
        <f aca="false">D191-G191</f>
        <v>46577514.5505677</v>
      </c>
    </row>
    <row r="192" customFormat="false" ht="15" hidden="false" customHeight="false" outlineLevel="0" collapsed="false">
      <c r="A192" s="22" t="n">
        <v>191</v>
      </c>
      <c r="B192" s="22" t="n">
        <f aca="false">INT((A192-1)/12)+1</f>
        <v>16</v>
      </c>
      <c r="C192" s="23" t="n">
        <f aca="false">IF(B192&gt;=入力!$B$14,入力!$B$15,IF(B192&gt;=入力!$B$12,入力!$B$13,入力!$B$11))</f>
        <v>0.02</v>
      </c>
      <c r="D192" s="24" t="n">
        <f aca="false">H191</f>
        <v>46577514.5505677</v>
      </c>
      <c r="E192" s="24" t="n">
        <f aca="false">-PMT(C192/12,420-A192+1,D192)</f>
        <v>243965.960681775</v>
      </c>
      <c r="F192" s="24" t="n">
        <f aca="false">D192*C192/12</f>
        <v>77629.1909176128</v>
      </c>
      <c r="G192" s="24" t="n">
        <f aca="false">E192-F192</f>
        <v>166336.769764162</v>
      </c>
      <c r="H192" s="24" t="n">
        <f aca="false">D192-G192</f>
        <v>46411177.7808035</v>
      </c>
    </row>
    <row r="193" customFormat="false" ht="15" hidden="false" customHeight="false" outlineLevel="0" collapsed="false">
      <c r="A193" s="22" t="n">
        <v>192</v>
      </c>
      <c r="B193" s="22" t="n">
        <f aca="false">INT((A193-1)/12)+1</f>
        <v>16</v>
      </c>
      <c r="C193" s="23" t="n">
        <f aca="false">IF(B193&gt;=入力!$B$14,入力!$B$15,IF(B193&gt;=入力!$B$12,入力!$B$13,入力!$B$11))</f>
        <v>0.02</v>
      </c>
      <c r="D193" s="24" t="n">
        <f aca="false">H192</f>
        <v>46411177.7808035</v>
      </c>
      <c r="E193" s="24" t="n">
        <f aca="false">-PMT(C193/12,420-A193+1,D193)</f>
        <v>243965.960681775</v>
      </c>
      <c r="F193" s="24" t="n">
        <f aca="false">D193*C193/12</f>
        <v>77351.9629680059</v>
      </c>
      <c r="G193" s="24" t="n">
        <f aca="false">E193-F193</f>
        <v>166613.997713769</v>
      </c>
      <c r="H193" s="24" t="n">
        <f aca="false">D193-G193</f>
        <v>46244563.7830898</v>
      </c>
    </row>
    <row r="194" customFormat="false" ht="15" hidden="false" customHeight="false" outlineLevel="0" collapsed="false">
      <c r="A194" s="22" t="n">
        <v>193</v>
      </c>
      <c r="B194" s="22" t="n">
        <f aca="false">INT((A194-1)/12)+1</f>
        <v>17</v>
      </c>
      <c r="C194" s="23" t="n">
        <f aca="false">IF(B194&gt;=入力!$B$14,入力!$B$15,IF(B194&gt;=入力!$B$12,入力!$B$13,入力!$B$11))</f>
        <v>0.02</v>
      </c>
      <c r="D194" s="24" t="n">
        <f aca="false">H193</f>
        <v>46244563.7830898</v>
      </c>
      <c r="E194" s="24" t="n">
        <f aca="false">-PMT(C194/12,420-A194+1,D194)</f>
        <v>243965.960681775</v>
      </c>
      <c r="F194" s="24" t="n">
        <f aca="false">D194*C194/12</f>
        <v>77074.2729718163</v>
      </c>
      <c r="G194" s="24" t="n">
        <f aca="false">E194-F194</f>
        <v>166891.687709958</v>
      </c>
      <c r="H194" s="24" t="n">
        <f aca="false">D194-G194</f>
        <v>46077672.0953798</v>
      </c>
    </row>
    <row r="195" customFormat="false" ht="15" hidden="false" customHeight="false" outlineLevel="0" collapsed="false">
      <c r="A195" s="22" t="n">
        <v>194</v>
      </c>
      <c r="B195" s="22" t="n">
        <f aca="false">INT((A195-1)/12)+1</f>
        <v>17</v>
      </c>
      <c r="C195" s="23" t="n">
        <f aca="false">IF(B195&gt;=入力!$B$14,入力!$B$15,IF(B195&gt;=入力!$B$12,入力!$B$13,入力!$B$11))</f>
        <v>0.02</v>
      </c>
      <c r="D195" s="24" t="n">
        <f aca="false">H194</f>
        <v>46077672.0953798</v>
      </c>
      <c r="E195" s="24" t="n">
        <f aca="false">-PMT(C195/12,420-A195+1,D195)</f>
        <v>243965.960681775</v>
      </c>
      <c r="F195" s="24" t="n">
        <f aca="false">D195*C195/12</f>
        <v>76796.1201589664</v>
      </c>
      <c r="G195" s="24" t="n">
        <f aca="false">E195-F195</f>
        <v>167169.840522808</v>
      </c>
      <c r="H195" s="24" t="n">
        <f aca="false">D195-G195</f>
        <v>45910502.254857</v>
      </c>
    </row>
    <row r="196" customFormat="false" ht="15" hidden="false" customHeight="false" outlineLevel="0" collapsed="false">
      <c r="A196" s="22" t="n">
        <v>195</v>
      </c>
      <c r="B196" s="22" t="n">
        <f aca="false">INT((A196-1)/12)+1</f>
        <v>17</v>
      </c>
      <c r="C196" s="23" t="n">
        <f aca="false">IF(B196&gt;=入力!$B$14,入力!$B$15,IF(B196&gt;=入力!$B$12,入力!$B$13,入力!$B$11))</f>
        <v>0.02</v>
      </c>
      <c r="D196" s="24" t="n">
        <f aca="false">H195</f>
        <v>45910502.254857</v>
      </c>
      <c r="E196" s="24" t="n">
        <f aca="false">-PMT(C196/12,420-A196+1,D196)</f>
        <v>243965.960681775</v>
      </c>
      <c r="F196" s="24" t="n">
        <f aca="false">D196*C196/12</f>
        <v>76517.503758095</v>
      </c>
      <c r="G196" s="24" t="n">
        <f aca="false">E196-F196</f>
        <v>167448.45692368</v>
      </c>
      <c r="H196" s="24" t="n">
        <f aca="false">D196-G196</f>
        <v>45743053.7979333</v>
      </c>
    </row>
    <row r="197" customFormat="false" ht="15" hidden="false" customHeight="false" outlineLevel="0" collapsed="false">
      <c r="A197" s="22" t="n">
        <v>196</v>
      </c>
      <c r="B197" s="22" t="n">
        <f aca="false">INT((A197-1)/12)+1</f>
        <v>17</v>
      </c>
      <c r="C197" s="23" t="n">
        <f aca="false">IF(B197&gt;=入力!$B$14,入力!$B$15,IF(B197&gt;=入力!$B$12,入力!$B$13,入力!$B$11))</f>
        <v>0.02</v>
      </c>
      <c r="D197" s="24" t="n">
        <f aca="false">H196</f>
        <v>45743053.7979333</v>
      </c>
      <c r="E197" s="24" t="n">
        <f aca="false">-PMT(C197/12,420-A197+1,D197)</f>
        <v>243965.960681775</v>
      </c>
      <c r="F197" s="24" t="n">
        <f aca="false">D197*C197/12</f>
        <v>76238.4229965555</v>
      </c>
      <c r="G197" s="24" t="n">
        <f aca="false">E197-F197</f>
        <v>167727.537685219</v>
      </c>
      <c r="H197" s="24" t="n">
        <f aca="false">D197-G197</f>
        <v>45575326.2602481</v>
      </c>
    </row>
    <row r="198" customFormat="false" ht="15" hidden="false" customHeight="false" outlineLevel="0" collapsed="false">
      <c r="A198" s="22" t="n">
        <v>197</v>
      </c>
      <c r="B198" s="22" t="n">
        <f aca="false">INT((A198-1)/12)+1</f>
        <v>17</v>
      </c>
      <c r="C198" s="23" t="n">
        <f aca="false">IF(B198&gt;=入力!$B$14,入力!$B$15,IF(B198&gt;=入力!$B$12,入力!$B$13,入力!$B$11))</f>
        <v>0.02</v>
      </c>
      <c r="D198" s="24" t="n">
        <f aca="false">H197</f>
        <v>45575326.2602481</v>
      </c>
      <c r="E198" s="24" t="n">
        <f aca="false">-PMT(C198/12,420-A198+1,D198)</f>
        <v>243965.960681775</v>
      </c>
      <c r="F198" s="24" t="n">
        <f aca="false">D198*C198/12</f>
        <v>75958.8771004135</v>
      </c>
      <c r="G198" s="24" t="n">
        <f aca="false">E198-F198</f>
        <v>168007.083581361</v>
      </c>
      <c r="H198" s="24" t="n">
        <f aca="false">D198-G198</f>
        <v>45407319.1766667</v>
      </c>
    </row>
    <row r="199" customFormat="false" ht="15" hidden="false" customHeight="false" outlineLevel="0" collapsed="false">
      <c r="A199" s="22" t="n">
        <v>198</v>
      </c>
      <c r="B199" s="22" t="n">
        <f aca="false">INT((A199-1)/12)+1</f>
        <v>17</v>
      </c>
      <c r="C199" s="23" t="n">
        <f aca="false">IF(B199&gt;=入力!$B$14,入力!$B$15,IF(B199&gt;=入力!$B$12,入力!$B$13,入力!$B$11))</f>
        <v>0.02</v>
      </c>
      <c r="D199" s="24" t="n">
        <f aca="false">H198</f>
        <v>45407319.1766667</v>
      </c>
      <c r="E199" s="24" t="n">
        <f aca="false">-PMT(C199/12,420-A199+1,D199)</f>
        <v>243965.960681775</v>
      </c>
      <c r="F199" s="24" t="n">
        <f aca="false">D199*C199/12</f>
        <v>75678.8652944446</v>
      </c>
      <c r="G199" s="24" t="n">
        <f aca="false">E199-F199</f>
        <v>168287.09538733</v>
      </c>
      <c r="H199" s="24" t="n">
        <f aca="false">D199-G199</f>
        <v>45239032.0812794</v>
      </c>
    </row>
    <row r="200" customFormat="false" ht="15" hidden="false" customHeight="false" outlineLevel="0" collapsed="false">
      <c r="A200" s="22" t="n">
        <v>199</v>
      </c>
      <c r="B200" s="22" t="n">
        <f aca="false">INT((A200-1)/12)+1</f>
        <v>17</v>
      </c>
      <c r="C200" s="23" t="n">
        <f aca="false">IF(B200&gt;=入力!$B$14,入力!$B$15,IF(B200&gt;=入力!$B$12,入力!$B$13,入力!$B$11))</f>
        <v>0.02</v>
      </c>
      <c r="D200" s="24" t="n">
        <f aca="false">H199</f>
        <v>45239032.0812794</v>
      </c>
      <c r="E200" s="24" t="n">
        <f aca="false">-PMT(C200/12,420-A200+1,D200)</f>
        <v>243965.960681775</v>
      </c>
      <c r="F200" s="24" t="n">
        <f aca="false">D200*C200/12</f>
        <v>75398.3868021323</v>
      </c>
      <c r="G200" s="24" t="n">
        <f aca="false">E200-F200</f>
        <v>168567.573879642</v>
      </c>
      <c r="H200" s="24" t="n">
        <f aca="false">D200-G200</f>
        <v>45070464.5073998</v>
      </c>
    </row>
    <row r="201" customFormat="false" ht="15" hidden="false" customHeight="false" outlineLevel="0" collapsed="false">
      <c r="A201" s="22" t="n">
        <v>200</v>
      </c>
      <c r="B201" s="22" t="n">
        <f aca="false">INT((A201-1)/12)+1</f>
        <v>17</v>
      </c>
      <c r="C201" s="23" t="n">
        <f aca="false">IF(B201&gt;=入力!$B$14,入力!$B$15,IF(B201&gt;=入力!$B$12,入力!$B$13,入力!$B$11))</f>
        <v>0.02</v>
      </c>
      <c r="D201" s="24" t="n">
        <f aca="false">H200</f>
        <v>45070464.5073998</v>
      </c>
      <c r="E201" s="24" t="n">
        <f aca="false">-PMT(C201/12,420-A201+1,D201)</f>
        <v>243965.960681775</v>
      </c>
      <c r="F201" s="24" t="n">
        <f aca="false">D201*C201/12</f>
        <v>75117.4408456663</v>
      </c>
      <c r="G201" s="24" t="n">
        <f aca="false">E201-F201</f>
        <v>168848.519836109</v>
      </c>
      <c r="H201" s="24" t="n">
        <f aca="false">D201-G201</f>
        <v>44901615.9875637</v>
      </c>
    </row>
    <row r="202" customFormat="false" ht="15" hidden="false" customHeight="false" outlineLevel="0" collapsed="false">
      <c r="A202" s="22" t="n">
        <v>201</v>
      </c>
      <c r="B202" s="22" t="n">
        <f aca="false">INT((A202-1)/12)+1</f>
        <v>17</v>
      </c>
      <c r="C202" s="23" t="n">
        <f aca="false">IF(B202&gt;=入力!$B$14,入力!$B$15,IF(B202&gt;=入力!$B$12,入力!$B$13,入力!$B$11))</f>
        <v>0.02</v>
      </c>
      <c r="D202" s="24" t="n">
        <f aca="false">H201</f>
        <v>44901615.9875637</v>
      </c>
      <c r="E202" s="24" t="n">
        <f aca="false">-PMT(C202/12,420-A202+1,D202)</f>
        <v>243965.960681775</v>
      </c>
      <c r="F202" s="24" t="n">
        <f aca="false">D202*C202/12</f>
        <v>74836.0266459394</v>
      </c>
      <c r="G202" s="24" t="n">
        <f aca="false">E202-F202</f>
        <v>169129.934035835</v>
      </c>
      <c r="H202" s="24" t="n">
        <f aca="false">D202-G202</f>
        <v>44732486.0535278</v>
      </c>
    </row>
    <row r="203" customFormat="false" ht="15" hidden="false" customHeight="false" outlineLevel="0" collapsed="false">
      <c r="A203" s="22" t="n">
        <v>202</v>
      </c>
      <c r="B203" s="22" t="n">
        <f aca="false">INT((A203-1)/12)+1</f>
        <v>17</v>
      </c>
      <c r="C203" s="23" t="n">
        <f aca="false">IF(B203&gt;=入力!$B$14,入力!$B$15,IF(B203&gt;=入力!$B$12,入力!$B$13,入力!$B$11))</f>
        <v>0.02</v>
      </c>
      <c r="D203" s="24" t="n">
        <f aca="false">H202</f>
        <v>44732486.0535278</v>
      </c>
      <c r="E203" s="24" t="n">
        <f aca="false">-PMT(C203/12,420-A203+1,D203)</f>
        <v>243965.960681775</v>
      </c>
      <c r="F203" s="24" t="n">
        <f aca="false">D203*C203/12</f>
        <v>74554.1434225464</v>
      </c>
      <c r="G203" s="24" t="n">
        <f aca="false">E203-F203</f>
        <v>169411.817259228</v>
      </c>
      <c r="H203" s="24" t="n">
        <f aca="false">D203-G203</f>
        <v>44563074.2362686</v>
      </c>
    </row>
    <row r="204" customFormat="false" ht="15" hidden="false" customHeight="false" outlineLevel="0" collapsed="false">
      <c r="A204" s="22" t="n">
        <v>203</v>
      </c>
      <c r="B204" s="22" t="n">
        <f aca="false">INT((A204-1)/12)+1</f>
        <v>17</v>
      </c>
      <c r="C204" s="23" t="n">
        <f aca="false">IF(B204&gt;=入力!$B$14,入力!$B$15,IF(B204&gt;=入力!$B$12,入力!$B$13,入力!$B$11))</f>
        <v>0.02</v>
      </c>
      <c r="D204" s="24" t="n">
        <f aca="false">H203</f>
        <v>44563074.2362686</v>
      </c>
      <c r="E204" s="24" t="n">
        <f aca="false">-PMT(C204/12,420-A204+1,D204)</f>
        <v>243965.960681775</v>
      </c>
      <c r="F204" s="24" t="n">
        <f aca="false">D204*C204/12</f>
        <v>74271.790393781</v>
      </c>
      <c r="G204" s="24" t="n">
        <f aca="false">E204-F204</f>
        <v>169694.170287994</v>
      </c>
      <c r="H204" s="24" t="n">
        <f aca="false">D204-G204</f>
        <v>44393380.0659806</v>
      </c>
    </row>
    <row r="205" customFormat="false" ht="15" hidden="false" customHeight="false" outlineLevel="0" collapsed="false">
      <c r="A205" s="22" t="n">
        <v>204</v>
      </c>
      <c r="B205" s="22" t="n">
        <f aca="false">INT((A205-1)/12)+1</f>
        <v>17</v>
      </c>
      <c r="C205" s="23" t="n">
        <f aca="false">IF(B205&gt;=入力!$B$14,入力!$B$15,IF(B205&gt;=入力!$B$12,入力!$B$13,入力!$B$11))</f>
        <v>0.02</v>
      </c>
      <c r="D205" s="24" t="n">
        <f aca="false">H204</f>
        <v>44393380.0659806</v>
      </c>
      <c r="E205" s="24" t="n">
        <f aca="false">-PMT(C205/12,420-A205+1,D205)</f>
        <v>243965.960681775</v>
      </c>
      <c r="F205" s="24" t="n">
        <f aca="false">D205*C205/12</f>
        <v>73988.9667766343</v>
      </c>
      <c r="G205" s="24" t="n">
        <f aca="false">E205-F205</f>
        <v>169976.99390514</v>
      </c>
      <c r="H205" s="24" t="n">
        <f aca="false">D205-G205</f>
        <v>44223403.0720755</v>
      </c>
    </row>
    <row r="206" customFormat="false" ht="15" hidden="false" customHeight="false" outlineLevel="0" collapsed="false">
      <c r="A206" s="22" t="n">
        <v>205</v>
      </c>
      <c r="B206" s="22" t="n">
        <f aca="false">INT((A206-1)/12)+1</f>
        <v>18</v>
      </c>
      <c r="C206" s="23" t="n">
        <f aca="false">IF(B206&gt;=入力!$B$14,入力!$B$15,IF(B206&gt;=入力!$B$12,入力!$B$13,入力!$B$11))</f>
        <v>0.02</v>
      </c>
      <c r="D206" s="24" t="n">
        <f aca="false">H205</f>
        <v>44223403.0720755</v>
      </c>
      <c r="E206" s="24" t="n">
        <f aca="false">-PMT(C206/12,420-A206+1,D206)</f>
        <v>243965.960681775</v>
      </c>
      <c r="F206" s="24" t="n">
        <f aca="false">D206*C206/12</f>
        <v>73705.6717867924</v>
      </c>
      <c r="G206" s="24" t="n">
        <f aca="false">E206-F206</f>
        <v>170260.288894982</v>
      </c>
      <c r="H206" s="24" t="n">
        <f aca="false">D206-G206</f>
        <v>44053142.7831805</v>
      </c>
    </row>
    <row r="207" customFormat="false" ht="15" hidden="false" customHeight="false" outlineLevel="0" collapsed="false">
      <c r="A207" s="22" t="n">
        <v>206</v>
      </c>
      <c r="B207" s="22" t="n">
        <f aca="false">INT((A207-1)/12)+1</f>
        <v>18</v>
      </c>
      <c r="C207" s="23" t="n">
        <f aca="false">IF(B207&gt;=入力!$B$14,入力!$B$15,IF(B207&gt;=入力!$B$12,入力!$B$13,入力!$B$11))</f>
        <v>0.02</v>
      </c>
      <c r="D207" s="24" t="n">
        <f aca="false">H206</f>
        <v>44053142.7831805</v>
      </c>
      <c r="E207" s="24" t="n">
        <f aca="false">-PMT(C207/12,420-A207+1,D207)</f>
        <v>243965.960681775</v>
      </c>
      <c r="F207" s="24" t="n">
        <f aca="false">D207*C207/12</f>
        <v>73421.9046386341</v>
      </c>
      <c r="G207" s="24" t="n">
        <f aca="false">E207-F207</f>
        <v>170544.056043141</v>
      </c>
      <c r="H207" s="24" t="n">
        <f aca="false">D207-G207</f>
        <v>43882598.7271373</v>
      </c>
    </row>
    <row r="208" customFormat="false" ht="15" hidden="false" customHeight="false" outlineLevel="0" collapsed="false">
      <c r="A208" s="22" t="n">
        <v>207</v>
      </c>
      <c r="B208" s="22" t="n">
        <f aca="false">INT((A208-1)/12)+1</f>
        <v>18</v>
      </c>
      <c r="C208" s="23" t="n">
        <f aca="false">IF(B208&gt;=入力!$B$14,入力!$B$15,IF(B208&gt;=入力!$B$12,入力!$B$13,入力!$B$11))</f>
        <v>0.02</v>
      </c>
      <c r="D208" s="24" t="n">
        <f aca="false">H207</f>
        <v>43882598.7271373</v>
      </c>
      <c r="E208" s="24" t="n">
        <f aca="false">-PMT(C208/12,420-A208+1,D208)</f>
        <v>243965.960681775</v>
      </c>
      <c r="F208" s="24" t="n">
        <f aca="false">D208*C208/12</f>
        <v>73137.6645452289</v>
      </c>
      <c r="G208" s="24" t="n">
        <f aca="false">E208-F208</f>
        <v>170828.296136546</v>
      </c>
      <c r="H208" s="24" t="n">
        <f aca="false">D208-G208</f>
        <v>43711770.4310008</v>
      </c>
    </row>
    <row r="209" customFormat="false" ht="15" hidden="false" customHeight="false" outlineLevel="0" collapsed="false">
      <c r="A209" s="22" t="n">
        <v>208</v>
      </c>
      <c r="B209" s="22" t="n">
        <f aca="false">INT((A209-1)/12)+1</f>
        <v>18</v>
      </c>
      <c r="C209" s="23" t="n">
        <f aca="false">IF(B209&gt;=入力!$B$14,入力!$B$15,IF(B209&gt;=入力!$B$12,入力!$B$13,入力!$B$11))</f>
        <v>0.02</v>
      </c>
      <c r="D209" s="24" t="n">
        <f aca="false">H208</f>
        <v>43711770.4310008</v>
      </c>
      <c r="E209" s="24" t="n">
        <f aca="false">-PMT(C209/12,420-A209+1,D209)</f>
        <v>243965.960681775</v>
      </c>
      <c r="F209" s="24" t="n">
        <f aca="false">D209*C209/12</f>
        <v>72852.9507183346</v>
      </c>
      <c r="G209" s="24" t="n">
        <f aca="false">E209-F209</f>
        <v>171113.00996344</v>
      </c>
      <c r="H209" s="24" t="n">
        <f aca="false">D209-G209</f>
        <v>43540657.4210373</v>
      </c>
    </row>
    <row r="210" customFormat="false" ht="15" hidden="false" customHeight="false" outlineLevel="0" collapsed="false">
      <c r="A210" s="22" t="n">
        <v>209</v>
      </c>
      <c r="B210" s="22" t="n">
        <f aca="false">INT((A210-1)/12)+1</f>
        <v>18</v>
      </c>
      <c r="C210" s="23" t="n">
        <f aca="false">IF(B210&gt;=入力!$B$14,入力!$B$15,IF(B210&gt;=入力!$B$12,入力!$B$13,入力!$B$11))</f>
        <v>0.02</v>
      </c>
      <c r="D210" s="24" t="n">
        <f aca="false">H209</f>
        <v>43540657.4210373</v>
      </c>
      <c r="E210" s="24" t="n">
        <f aca="false">-PMT(C210/12,420-A210+1,D210)</f>
        <v>243965.960681775</v>
      </c>
      <c r="F210" s="24" t="n">
        <f aca="false">D210*C210/12</f>
        <v>72567.7623683956</v>
      </c>
      <c r="G210" s="24" t="n">
        <f aca="false">E210-F210</f>
        <v>171398.198313379</v>
      </c>
      <c r="H210" s="24" t="n">
        <f aca="false">D210-G210</f>
        <v>43369259.222724</v>
      </c>
    </row>
    <row r="211" customFormat="false" ht="15" hidden="false" customHeight="false" outlineLevel="0" collapsed="false">
      <c r="A211" s="22" t="n">
        <v>210</v>
      </c>
      <c r="B211" s="22" t="n">
        <f aca="false">INT((A211-1)/12)+1</f>
        <v>18</v>
      </c>
      <c r="C211" s="23" t="n">
        <f aca="false">IF(B211&gt;=入力!$B$14,入力!$B$15,IF(B211&gt;=入力!$B$12,入力!$B$13,入力!$B$11))</f>
        <v>0.02</v>
      </c>
      <c r="D211" s="24" t="n">
        <f aca="false">H210</f>
        <v>43369259.222724</v>
      </c>
      <c r="E211" s="24" t="n">
        <f aca="false">-PMT(C211/12,420-A211+1,D211)</f>
        <v>243965.960681775</v>
      </c>
      <c r="F211" s="24" t="n">
        <f aca="false">D211*C211/12</f>
        <v>72282.09870454</v>
      </c>
      <c r="G211" s="24" t="n">
        <f aca="false">E211-F211</f>
        <v>171683.861977235</v>
      </c>
      <c r="H211" s="24" t="n">
        <f aca="false">D211-G211</f>
        <v>43197575.3607467</v>
      </c>
    </row>
    <row r="212" customFormat="false" ht="15" hidden="false" customHeight="false" outlineLevel="0" collapsed="false">
      <c r="A212" s="22" t="n">
        <v>211</v>
      </c>
      <c r="B212" s="22" t="n">
        <f aca="false">INT((A212-1)/12)+1</f>
        <v>18</v>
      </c>
      <c r="C212" s="23" t="n">
        <f aca="false">IF(B212&gt;=入力!$B$14,入力!$B$15,IF(B212&gt;=入力!$B$12,入力!$B$13,入力!$B$11))</f>
        <v>0.02</v>
      </c>
      <c r="D212" s="24" t="n">
        <f aca="false">H211</f>
        <v>43197575.3607467</v>
      </c>
      <c r="E212" s="24" t="n">
        <f aca="false">-PMT(C212/12,420-A212+1,D212)</f>
        <v>243965.960681775</v>
      </c>
      <c r="F212" s="24" t="n">
        <f aca="false">D212*C212/12</f>
        <v>71995.9589345779</v>
      </c>
      <c r="G212" s="24" t="n">
        <f aca="false">E212-F212</f>
        <v>171970.001747197</v>
      </c>
      <c r="H212" s="24" t="n">
        <f aca="false">D212-G212</f>
        <v>43025605.3589995</v>
      </c>
    </row>
    <row r="213" customFormat="false" ht="15" hidden="false" customHeight="false" outlineLevel="0" collapsed="false">
      <c r="A213" s="22" t="n">
        <v>212</v>
      </c>
      <c r="B213" s="22" t="n">
        <f aca="false">INT((A213-1)/12)+1</f>
        <v>18</v>
      </c>
      <c r="C213" s="23" t="n">
        <f aca="false">IF(B213&gt;=入力!$B$14,入力!$B$15,IF(B213&gt;=入力!$B$12,入力!$B$13,入力!$B$11))</f>
        <v>0.02</v>
      </c>
      <c r="D213" s="24" t="n">
        <f aca="false">H212</f>
        <v>43025605.3589995</v>
      </c>
      <c r="E213" s="24" t="n">
        <f aca="false">-PMT(C213/12,420-A213+1,D213)</f>
        <v>243965.960681775</v>
      </c>
      <c r="F213" s="24" t="n">
        <f aca="false">D213*C213/12</f>
        <v>71709.3422649992</v>
      </c>
      <c r="G213" s="24" t="n">
        <f aca="false">E213-F213</f>
        <v>172256.618416776</v>
      </c>
      <c r="H213" s="24" t="n">
        <f aca="false">D213-G213</f>
        <v>42853348.7405828</v>
      </c>
    </row>
    <row r="214" customFormat="false" ht="15" hidden="false" customHeight="false" outlineLevel="0" collapsed="false">
      <c r="A214" s="22" t="n">
        <v>213</v>
      </c>
      <c r="B214" s="22" t="n">
        <f aca="false">INT((A214-1)/12)+1</f>
        <v>18</v>
      </c>
      <c r="C214" s="23" t="n">
        <f aca="false">IF(B214&gt;=入力!$B$14,入力!$B$15,IF(B214&gt;=入力!$B$12,入力!$B$13,入力!$B$11))</f>
        <v>0.02</v>
      </c>
      <c r="D214" s="24" t="n">
        <f aca="false">H213</f>
        <v>42853348.7405828</v>
      </c>
      <c r="E214" s="24" t="n">
        <f aca="false">-PMT(C214/12,420-A214+1,D214)</f>
        <v>243965.960681775</v>
      </c>
      <c r="F214" s="24" t="n">
        <f aca="false">D214*C214/12</f>
        <v>71422.2479009713</v>
      </c>
      <c r="G214" s="24" t="n">
        <f aca="false">E214-F214</f>
        <v>172543.712780803</v>
      </c>
      <c r="H214" s="24" t="n">
        <f aca="false">D214-G214</f>
        <v>42680805.027802</v>
      </c>
    </row>
    <row r="215" customFormat="false" ht="15" hidden="false" customHeight="false" outlineLevel="0" collapsed="false">
      <c r="A215" s="22" t="n">
        <v>214</v>
      </c>
      <c r="B215" s="22" t="n">
        <f aca="false">INT((A215-1)/12)+1</f>
        <v>18</v>
      </c>
      <c r="C215" s="23" t="n">
        <f aca="false">IF(B215&gt;=入力!$B$14,入力!$B$15,IF(B215&gt;=入力!$B$12,入力!$B$13,入力!$B$11))</f>
        <v>0.02</v>
      </c>
      <c r="D215" s="24" t="n">
        <f aca="false">H214</f>
        <v>42680805.027802</v>
      </c>
      <c r="E215" s="24" t="n">
        <f aca="false">-PMT(C215/12,420-A215+1,D215)</f>
        <v>243965.960681775</v>
      </c>
      <c r="F215" s="24" t="n">
        <f aca="false">D215*C215/12</f>
        <v>71134.6750463366</v>
      </c>
      <c r="G215" s="24" t="n">
        <f aca="false">E215-F215</f>
        <v>172831.285635438</v>
      </c>
      <c r="H215" s="24" t="n">
        <f aca="false">D215-G215</f>
        <v>42507973.7421665</v>
      </c>
    </row>
    <row r="216" customFormat="false" ht="15" hidden="false" customHeight="false" outlineLevel="0" collapsed="false">
      <c r="A216" s="22" t="n">
        <v>215</v>
      </c>
      <c r="B216" s="22" t="n">
        <f aca="false">INT((A216-1)/12)+1</f>
        <v>18</v>
      </c>
      <c r="C216" s="23" t="n">
        <f aca="false">IF(B216&gt;=入力!$B$14,入力!$B$15,IF(B216&gt;=入力!$B$12,入力!$B$13,入力!$B$11))</f>
        <v>0.02</v>
      </c>
      <c r="D216" s="24" t="n">
        <f aca="false">H215</f>
        <v>42507973.7421665</v>
      </c>
      <c r="E216" s="24" t="n">
        <f aca="false">-PMT(C216/12,420-A216+1,D216)</f>
        <v>243965.960681775</v>
      </c>
      <c r="F216" s="24" t="n">
        <f aca="false">D216*C216/12</f>
        <v>70846.6229036109</v>
      </c>
      <c r="G216" s="24" t="n">
        <f aca="false">E216-F216</f>
        <v>173119.337778164</v>
      </c>
      <c r="H216" s="24" t="n">
        <f aca="false">D216-G216</f>
        <v>42334854.4043883</v>
      </c>
    </row>
    <row r="217" customFormat="false" ht="15" hidden="false" customHeight="false" outlineLevel="0" collapsed="false">
      <c r="A217" s="22" t="n">
        <v>216</v>
      </c>
      <c r="B217" s="22" t="n">
        <f aca="false">INT((A217-1)/12)+1</f>
        <v>18</v>
      </c>
      <c r="C217" s="23" t="n">
        <f aca="false">IF(B217&gt;=入力!$B$14,入力!$B$15,IF(B217&gt;=入力!$B$12,入力!$B$13,入力!$B$11))</f>
        <v>0.02</v>
      </c>
      <c r="D217" s="24" t="n">
        <f aca="false">H216</f>
        <v>42334854.4043883</v>
      </c>
      <c r="E217" s="24" t="n">
        <f aca="false">-PMT(C217/12,420-A217+1,D217)</f>
        <v>243965.960681775</v>
      </c>
      <c r="F217" s="24" t="n">
        <f aca="false">D217*C217/12</f>
        <v>70558.0906739806</v>
      </c>
      <c r="G217" s="24" t="n">
        <f aca="false">E217-F217</f>
        <v>173407.870007794</v>
      </c>
      <c r="H217" s="24" t="n">
        <f aca="false">D217-G217</f>
        <v>42161446.5343806</v>
      </c>
    </row>
    <row r="218" customFormat="false" ht="15" hidden="false" customHeight="false" outlineLevel="0" collapsed="false">
      <c r="A218" s="22" t="n">
        <v>217</v>
      </c>
      <c r="B218" s="22" t="n">
        <f aca="false">INT((A218-1)/12)+1</f>
        <v>19</v>
      </c>
      <c r="C218" s="23" t="n">
        <f aca="false">IF(B218&gt;=入力!$B$14,入力!$B$15,IF(B218&gt;=入力!$B$12,入力!$B$13,入力!$B$11))</f>
        <v>0.02</v>
      </c>
      <c r="D218" s="24" t="n">
        <f aca="false">H217</f>
        <v>42161446.5343806</v>
      </c>
      <c r="E218" s="24" t="n">
        <f aca="false">-PMT(C218/12,420-A218+1,D218)</f>
        <v>243965.960681775</v>
      </c>
      <c r="F218" s="24" t="n">
        <f aca="false">D218*C218/12</f>
        <v>70269.0775573009</v>
      </c>
      <c r="G218" s="24" t="n">
        <f aca="false">E218-F218</f>
        <v>173696.883124474</v>
      </c>
      <c r="H218" s="24" t="n">
        <f aca="false">D218-G218</f>
        <v>41987749.6512561</v>
      </c>
    </row>
    <row r="219" customFormat="false" ht="15" hidden="false" customHeight="false" outlineLevel="0" collapsed="false">
      <c r="A219" s="22" t="n">
        <v>218</v>
      </c>
      <c r="B219" s="22" t="n">
        <f aca="false">INT((A219-1)/12)+1</f>
        <v>19</v>
      </c>
      <c r="C219" s="23" t="n">
        <f aca="false">IF(B219&gt;=入力!$B$14,入力!$B$15,IF(B219&gt;=入力!$B$12,入力!$B$13,入力!$B$11))</f>
        <v>0.02</v>
      </c>
      <c r="D219" s="24" t="n">
        <f aca="false">H218</f>
        <v>41987749.6512561</v>
      </c>
      <c r="E219" s="24" t="n">
        <f aca="false">-PMT(C219/12,420-A219+1,D219)</f>
        <v>243965.960681775</v>
      </c>
      <c r="F219" s="24" t="n">
        <f aca="false">D219*C219/12</f>
        <v>69979.5827520935</v>
      </c>
      <c r="G219" s="24" t="n">
        <f aca="false">E219-F219</f>
        <v>173986.377929681</v>
      </c>
      <c r="H219" s="24" t="n">
        <f aca="false">D219-G219</f>
        <v>41813763.2733264</v>
      </c>
    </row>
    <row r="220" customFormat="false" ht="15" hidden="false" customHeight="false" outlineLevel="0" collapsed="false">
      <c r="A220" s="22" t="n">
        <v>219</v>
      </c>
      <c r="B220" s="22" t="n">
        <f aca="false">INT((A220-1)/12)+1</f>
        <v>19</v>
      </c>
      <c r="C220" s="23" t="n">
        <f aca="false">IF(B220&gt;=入力!$B$14,入力!$B$15,IF(B220&gt;=入力!$B$12,入力!$B$13,入力!$B$11))</f>
        <v>0.02</v>
      </c>
      <c r="D220" s="24" t="n">
        <f aca="false">H219</f>
        <v>41813763.2733264</v>
      </c>
      <c r="E220" s="24" t="n">
        <f aca="false">-PMT(C220/12,420-A220+1,D220)</f>
        <v>243965.960681775</v>
      </c>
      <c r="F220" s="24" t="n">
        <f aca="false">D220*C220/12</f>
        <v>69689.605455544</v>
      </c>
      <c r="G220" s="24" t="n">
        <f aca="false">E220-F220</f>
        <v>174276.355226231</v>
      </c>
      <c r="H220" s="24" t="n">
        <f aca="false">D220-G220</f>
        <v>41639486.9181002</v>
      </c>
    </row>
    <row r="221" customFormat="false" ht="15" hidden="false" customHeight="false" outlineLevel="0" collapsed="false">
      <c r="A221" s="22" t="n">
        <v>220</v>
      </c>
      <c r="B221" s="22" t="n">
        <f aca="false">INT((A221-1)/12)+1</f>
        <v>19</v>
      </c>
      <c r="C221" s="23" t="n">
        <f aca="false">IF(B221&gt;=入力!$B$14,入力!$B$15,IF(B221&gt;=入力!$B$12,入力!$B$13,入力!$B$11))</f>
        <v>0.02</v>
      </c>
      <c r="D221" s="24" t="n">
        <f aca="false">H220</f>
        <v>41639486.9181002</v>
      </c>
      <c r="E221" s="24" t="n">
        <f aca="false">-PMT(C221/12,420-A221+1,D221)</f>
        <v>243965.960681775</v>
      </c>
      <c r="F221" s="24" t="n">
        <f aca="false">D221*C221/12</f>
        <v>69399.1448635003</v>
      </c>
      <c r="G221" s="24" t="n">
        <f aca="false">E221-F221</f>
        <v>174566.815818274</v>
      </c>
      <c r="H221" s="24" t="n">
        <f aca="false">D221-G221</f>
        <v>41464920.1022819</v>
      </c>
    </row>
    <row r="222" customFormat="false" ht="15" hidden="false" customHeight="false" outlineLevel="0" collapsed="false">
      <c r="A222" s="22" t="n">
        <v>221</v>
      </c>
      <c r="B222" s="22" t="n">
        <f aca="false">INT((A222-1)/12)+1</f>
        <v>19</v>
      </c>
      <c r="C222" s="23" t="n">
        <f aca="false">IF(B222&gt;=入力!$B$14,入力!$B$15,IF(B222&gt;=入力!$B$12,入力!$B$13,入力!$B$11))</f>
        <v>0.02</v>
      </c>
      <c r="D222" s="24" t="n">
        <f aca="false">H221</f>
        <v>41464920.1022819</v>
      </c>
      <c r="E222" s="24" t="n">
        <f aca="false">-PMT(C222/12,420-A222+1,D222)</f>
        <v>243965.960681775</v>
      </c>
      <c r="F222" s="24" t="n">
        <f aca="false">D222*C222/12</f>
        <v>69108.2001704698</v>
      </c>
      <c r="G222" s="24" t="n">
        <f aca="false">E222-F222</f>
        <v>174857.760511305</v>
      </c>
      <c r="H222" s="24" t="n">
        <f aca="false">D222-G222</f>
        <v>41290062.3417706</v>
      </c>
    </row>
    <row r="223" customFormat="false" ht="15" hidden="false" customHeight="false" outlineLevel="0" collapsed="false">
      <c r="A223" s="22" t="n">
        <v>222</v>
      </c>
      <c r="B223" s="22" t="n">
        <f aca="false">INT((A223-1)/12)+1</f>
        <v>19</v>
      </c>
      <c r="C223" s="23" t="n">
        <f aca="false">IF(B223&gt;=入力!$B$14,入力!$B$15,IF(B223&gt;=入力!$B$12,入力!$B$13,入力!$B$11))</f>
        <v>0.02</v>
      </c>
      <c r="D223" s="24" t="n">
        <f aca="false">H222</f>
        <v>41290062.3417706</v>
      </c>
      <c r="E223" s="24" t="n">
        <f aca="false">-PMT(C223/12,420-A223+1,D223)</f>
        <v>243965.960681775</v>
      </c>
      <c r="F223" s="24" t="n">
        <f aca="false">D223*C223/12</f>
        <v>68816.7705696177</v>
      </c>
      <c r="G223" s="24" t="n">
        <f aca="false">E223-F223</f>
        <v>175149.190112157</v>
      </c>
      <c r="H223" s="24" t="n">
        <f aca="false">D223-G223</f>
        <v>41114913.1516584</v>
      </c>
    </row>
    <row r="224" customFormat="false" ht="15" hidden="false" customHeight="false" outlineLevel="0" collapsed="false">
      <c r="A224" s="22" t="n">
        <v>223</v>
      </c>
      <c r="B224" s="22" t="n">
        <f aca="false">INT((A224-1)/12)+1</f>
        <v>19</v>
      </c>
      <c r="C224" s="23" t="n">
        <f aca="false">IF(B224&gt;=入力!$B$14,入力!$B$15,IF(B224&gt;=入力!$B$12,入力!$B$13,入力!$B$11))</f>
        <v>0.02</v>
      </c>
      <c r="D224" s="24" t="n">
        <f aca="false">H223</f>
        <v>41114913.1516584</v>
      </c>
      <c r="E224" s="24" t="n">
        <f aca="false">-PMT(C224/12,420-A224+1,D224)</f>
        <v>243965.960681775</v>
      </c>
      <c r="F224" s="24" t="n">
        <f aca="false">D224*C224/12</f>
        <v>68524.8552527641</v>
      </c>
      <c r="G224" s="24" t="n">
        <f aca="false">E224-F224</f>
        <v>175441.105429011</v>
      </c>
      <c r="H224" s="24" t="n">
        <f aca="false">D224-G224</f>
        <v>40939472.0462294</v>
      </c>
    </row>
    <row r="225" customFormat="false" ht="15" hidden="false" customHeight="false" outlineLevel="0" collapsed="false">
      <c r="A225" s="22" t="n">
        <v>224</v>
      </c>
      <c r="B225" s="22" t="n">
        <f aca="false">INT((A225-1)/12)+1</f>
        <v>19</v>
      </c>
      <c r="C225" s="23" t="n">
        <f aca="false">IF(B225&gt;=入力!$B$14,入力!$B$15,IF(B225&gt;=入力!$B$12,入力!$B$13,入力!$B$11))</f>
        <v>0.02</v>
      </c>
      <c r="D225" s="24" t="n">
        <f aca="false">H224</f>
        <v>40939472.0462294</v>
      </c>
      <c r="E225" s="24" t="n">
        <f aca="false">-PMT(C225/12,420-A225+1,D225)</f>
        <v>243965.960681775</v>
      </c>
      <c r="F225" s="24" t="n">
        <f aca="false">D225*C225/12</f>
        <v>68232.4534103824</v>
      </c>
      <c r="G225" s="24" t="n">
        <f aca="false">E225-F225</f>
        <v>175733.507271392</v>
      </c>
      <c r="H225" s="24" t="n">
        <f aca="false">D225-G225</f>
        <v>40763738.538958</v>
      </c>
    </row>
    <row r="226" customFormat="false" ht="15" hidden="false" customHeight="false" outlineLevel="0" collapsed="false">
      <c r="A226" s="22" t="n">
        <v>225</v>
      </c>
      <c r="B226" s="22" t="n">
        <f aca="false">INT((A226-1)/12)+1</f>
        <v>19</v>
      </c>
      <c r="C226" s="23" t="n">
        <f aca="false">IF(B226&gt;=入力!$B$14,入力!$B$15,IF(B226&gt;=入力!$B$12,入力!$B$13,入力!$B$11))</f>
        <v>0.02</v>
      </c>
      <c r="D226" s="24" t="n">
        <f aca="false">H225</f>
        <v>40763738.538958</v>
      </c>
      <c r="E226" s="24" t="n">
        <f aca="false">-PMT(C226/12,420-A226+1,D226)</f>
        <v>243965.960681775</v>
      </c>
      <c r="F226" s="24" t="n">
        <f aca="false">D226*C226/12</f>
        <v>67939.5642315967</v>
      </c>
      <c r="G226" s="24" t="n">
        <f aca="false">E226-F226</f>
        <v>176026.396450178</v>
      </c>
      <c r="H226" s="24" t="n">
        <f aca="false">D226-G226</f>
        <v>40587712.1425079</v>
      </c>
    </row>
    <row r="227" customFormat="false" ht="15" hidden="false" customHeight="false" outlineLevel="0" collapsed="false">
      <c r="A227" s="22" t="n">
        <v>226</v>
      </c>
      <c r="B227" s="22" t="n">
        <f aca="false">INT((A227-1)/12)+1</f>
        <v>19</v>
      </c>
      <c r="C227" s="23" t="n">
        <f aca="false">IF(B227&gt;=入力!$B$14,入力!$B$15,IF(B227&gt;=入力!$B$12,入力!$B$13,入力!$B$11))</f>
        <v>0.02</v>
      </c>
      <c r="D227" s="24" t="n">
        <f aca="false">H226</f>
        <v>40587712.1425079</v>
      </c>
      <c r="E227" s="24" t="n">
        <f aca="false">-PMT(C227/12,420-A227+1,D227)</f>
        <v>243965.960681775</v>
      </c>
      <c r="F227" s="24" t="n">
        <f aca="false">D227*C227/12</f>
        <v>67646.1869041798</v>
      </c>
      <c r="G227" s="24" t="n">
        <f aca="false">E227-F227</f>
        <v>176319.773777595</v>
      </c>
      <c r="H227" s="24" t="n">
        <f aca="false">D227-G227</f>
        <v>40411392.3687303</v>
      </c>
    </row>
    <row r="228" customFormat="false" ht="15" hidden="false" customHeight="false" outlineLevel="0" collapsed="false">
      <c r="A228" s="22" t="n">
        <v>227</v>
      </c>
      <c r="B228" s="22" t="n">
        <f aca="false">INT((A228-1)/12)+1</f>
        <v>19</v>
      </c>
      <c r="C228" s="23" t="n">
        <f aca="false">IF(B228&gt;=入力!$B$14,入力!$B$15,IF(B228&gt;=入力!$B$12,入力!$B$13,入力!$B$11))</f>
        <v>0.02</v>
      </c>
      <c r="D228" s="24" t="n">
        <f aca="false">H227</f>
        <v>40411392.3687303</v>
      </c>
      <c r="E228" s="24" t="n">
        <f aca="false">-PMT(C228/12,420-A228+1,D228)</f>
        <v>243965.960681775</v>
      </c>
      <c r="F228" s="24" t="n">
        <f aca="false">D228*C228/12</f>
        <v>67352.3206145504</v>
      </c>
      <c r="G228" s="24" t="n">
        <f aca="false">E228-F228</f>
        <v>176613.640067224</v>
      </c>
      <c r="H228" s="24" t="n">
        <f aca="false">D228-G228</f>
        <v>40234778.728663</v>
      </c>
    </row>
    <row r="229" customFormat="false" ht="15" hidden="false" customHeight="false" outlineLevel="0" collapsed="false">
      <c r="A229" s="22" t="n">
        <v>228</v>
      </c>
      <c r="B229" s="22" t="n">
        <f aca="false">INT((A229-1)/12)+1</f>
        <v>19</v>
      </c>
      <c r="C229" s="23" t="n">
        <f aca="false">IF(B229&gt;=入力!$B$14,入力!$B$15,IF(B229&gt;=入力!$B$12,入力!$B$13,入力!$B$11))</f>
        <v>0.02</v>
      </c>
      <c r="D229" s="24" t="n">
        <f aca="false">H228</f>
        <v>40234778.728663</v>
      </c>
      <c r="E229" s="24" t="n">
        <f aca="false">-PMT(C229/12,420-A229+1,D229)</f>
        <v>243965.960681775</v>
      </c>
      <c r="F229" s="24" t="n">
        <f aca="false">D229*C229/12</f>
        <v>67057.9645477717</v>
      </c>
      <c r="G229" s="24" t="n">
        <f aca="false">E229-F229</f>
        <v>176907.996134003</v>
      </c>
      <c r="H229" s="24" t="n">
        <f aca="false">D229-G229</f>
        <v>40057870.732529</v>
      </c>
    </row>
    <row r="230" customFormat="false" ht="15" hidden="false" customHeight="false" outlineLevel="0" collapsed="false">
      <c r="A230" s="22" t="n">
        <v>229</v>
      </c>
      <c r="B230" s="22" t="n">
        <f aca="false">INT((A230-1)/12)+1</f>
        <v>20</v>
      </c>
      <c r="C230" s="23" t="n">
        <f aca="false">IF(B230&gt;=入力!$B$14,入力!$B$15,IF(B230&gt;=入力!$B$12,入力!$B$13,入力!$B$11))</f>
        <v>0.02</v>
      </c>
      <c r="D230" s="24" t="n">
        <f aca="false">H229</f>
        <v>40057870.732529</v>
      </c>
      <c r="E230" s="24" t="n">
        <f aca="false">-PMT(C230/12,420-A230+1,D230)</f>
        <v>243965.960681775</v>
      </c>
      <c r="F230" s="24" t="n">
        <f aca="false">D230*C230/12</f>
        <v>66763.1178875484</v>
      </c>
      <c r="G230" s="24" t="n">
        <f aca="false">E230-F230</f>
        <v>177202.842794226</v>
      </c>
      <c r="H230" s="24" t="n">
        <f aca="false">D230-G230</f>
        <v>39880667.8897348</v>
      </c>
    </row>
    <row r="231" customFormat="false" ht="15" hidden="false" customHeight="false" outlineLevel="0" collapsed="false">
      <c r="A231" s="22" t="n">
        <v>230</v>
      </c>
      <c r="B231" s="22" t="n">
        <f aca="false">INT((A231-1)/12)+1</f>
        <v>20</v>
      </c>
      <c r="C231" s="23" t="n">
        <f aca="false">IF(B231&gt;=入力!$B$14,入力!$B$15,IF(B231&gt;=入力!$B$12,入力!$B$13,入力!$B$11))</f>
        <v>0.02</v>
      </c>
      <c r="D231" s="24" t="n">
        <f aca="false">H230</f>
        <v>39880667.8897348</v>
      </c>
      <c r="E231" s="24" t="n">
        <f aca="false">-PMT(C231/12,420-A231+1,D231)</f>
        <v>243965.960681775</v>
      </c>
      <c r="F231" s="24" t="n">
        <f aca="false">D231*C231/12</f>
        <v>66467.7798162247</v>
      </c>
      <c r="G231" s="24" t="n">
        <f aca="false">E231-F231</f>
        <v>177498.18086555</v>
      </c>
      <c r="H231" s="24" t="n">
        <f aca="false">D231-G231</f>
        <v>39703169.7088693</v>
      </c>
    </row>
    <row r="232" customFormat="false" ht="15" hidden="false" customHeight="false" outlineLevel="0" collapsed="false">
      <c r="A232" s="22" t="n">
        <v>231</v>
      </c>
      <c r="B232" s="22" t="n">
        <f aca="false">INT((A232-1)/12)+1</f>
        <v>20</v>
      </c>
      <c r="C232" s="23" t="n">
        <f aca="false">IF(B232&gt;=入力!$B$14,入力!$B$15,IF(B232&gt;=入力!$B$12,入力!$B$13,入力!$B$11))</f>
        <v>0.02</v>
      </c>
      <c r="D232" s="24" t="n">
        <f aca="false">H231</f>
        <v>39703169.7088693</v>
      </c>
      <c r="E232" s="24" t="n">
        <f aca="false">-PMT(C232/12,420-A232+1,D232)</f>
        <v>243965.960681775</v>
      </c>
      <c r="F232" s="24" t="n">
        <f aca="false">D232*C232/12</f>
        <v>66171.9495147821</v>
      </c>
      <c r="G232" s="24" t="n">
        <f aca="false">E232-F232</f>
        <v>177794.011166993</v>
      </c>
      <c r="H232" s="24" t="n">
        <f aca="false">D232-G232</f>
        <v>39525375.6977023</v>
      </c>
    </row>
    <row r="233" customFormat="false" ht="15" hidden="false" customHeight="false" outlineLevel="0" collapsed="false">
      <c r="A233" s="22" t="n">
        <v>232</v>
      </c>
      <c r="B233" s="22" t="n">
        <f aca="false">INT((A233-1)/12)+1</f>
        <v>20</v>
      </c>
      <c r="C233" s="23" t="n">
        <f aca="false">IF(B233&gt;=入力!$B$14,入力!$B$15,IF(B233&gt;=入力!$B$12,入力!$B$13,入力!$B$11))</f>
        <v>0.02</v>
      </c>
      <c r="D233" s="24" t="n">
        <f aca="false">H232</f>
        <v>39525375.6977023</v>
      </c>
      <c r="E233" s="24" t="n">
        <f aca="false">-PMT(C233/12,420-A233+1,D233)</f>
        <v>243965.960681775</v>
      </c>
      <c r="F233" s="24" t="n">
        <f aca="false">D233*C233/12</f>
        <v>65875.6261628371</v>
      </c>
      <c r="G233" s="24" t="n">
        <f aca="false">E233-F233</f>
        <v>178090.334518938</v>
      </c>
      <c r="H233" s="24" t="n">
        <f aca="false">D233-G233</f>
        <v>39347285.3631833</v>
      </c>
    </row>
    <row r="234" customFormat="false" ht="15" hidden="false" customHeight="false" outlineLevel="0" collapsed="false">
      <c r="A234" s="22" t="n">
        <v>233</v>
      </c>
      <c r="B234" s="22" t="n">
        <f aca="false">INT((A234-1)/12)+1</f>
        <v>20</v>
      </c>
      <c r="C234" s="23" t="n">
        <f aca="false">IF(B234&gt;=入力!$B$14,入力!$B$15,IF(B234&gt;=入力!$B$12,入力!$B$13,入力!$B$11))</f>
        <v>0.02</v>
      </c>
      <c r="D234" s="24" t="n">
        <f aca="false">H233</f>
        <v>39347285.3631833</v>
      </c>
      <c r="E234" s="24" t="n">
        <f aca="false">-PMT(C234/12,420-A234+1,D234)</f>
        <v>243965.960681775</v>
      </c>
      <c r="F234" s="24" t="n">
        <f aca="false">D234*C234/12</f>
        <v>65578.8089386389</v>
      </c>
      <c r="G234" s="24" t="n">
        <f aca="false">E234-F234</f>
        <v>178387.151743136</v>
      </c>
      <c r="H234" s="24" t="n">
        <f aca="false">D234-G234</f>
        <v>39168898.2114402</v>
      </c>
    </row>
    <row r="235" customFormat="false" ht="15" hidden="false" customHeight="false" outlineLevel="0" collapsed="false">
      <c r="A235" s="22" t="n">
        <v>234</v>
      </c>
      <c r="B235" s="22" t="n">
        <f aca="false">INT((A235-1)/12)+1</f>
        <v>20</v>
      </c>
      <c r="C235" s="23" t="n">
        <f aca="false">IF(B235&gt;=入力!$B$14,入力!$B$15,IF(B235&gt;=入力!$B$12,入力!$B$13,入力!$B$11))</f>
        <v>0.02</v>
      </c>
      <c r="D235" s="24" t="n">
        <f aca="false">H234</f>
        <v>39168898.2114402</v>
      </c>
      <c r="E235" s="24" t="n">
        <f aca="false">-PMT(C235/12,420-A235+1,D235)</f>
        <v>243965.960681775</v>
      </c>
      <c r="F235" s="24" t="n">
        <f aca="false">D235*C235/12</f>
        <v>65281.497019067</v>
      </c>
      <c r="G235" s="24" t="n">
        <f aca="false">E235-F235</f>
        <v>178684.463662708</v>
      </c>
      <c r="H235" s="24" t="n">
        <f aca="false">D235-G235</f>
        <v>38990213.7477775</v>
      </c>
    </row>
    <row r="236" customFormat="false" ht="15" hidden="false" customHeight="false" outlineLevel="0" collapsed="false">
      <c r="A236" s="22" t="n">
        <v>235</v>
      </c>
      <c r="B236" s="22" t="n">
        <f aca="false">INT((A236-1)/12)+1</f>
        <v>20</v>
      </c>
      <c r="C236" s="23" t="n">
        <f aca="false">IF(B236&gt;=入力!$B$14,入力!$B$15,IF(B236&gt;=入力!$B$12,入力!$B$13,入力!$B$11))</f>
        <v>0.02</v>
      </c>
      <c r="D236" s="24" t="n">
        <f aca="false">H235</f>
        <v>38990213.7477775</v>
      </c>
      <c r="E236" s="24" t="n">
        <f aca="false">-PMT(C236/12,420-A236+1,D236)</f>
        <v>243965.960681775</v>
      </c>
      <c r="F236" s="24" t="n">
        <f aca="false">D236*C236/12</f>
        <v>64983.6895796291</v>
      </c>
      <c r="G236" s="24" t="n">
        <f aca="false">E236-F236</f>
        <v>178982.271102146</v>
      </c>
      <c r="H236" s="24" t="n">
        <f aca="false">D236-G236</f>
        <v>38811231.4766753</v>
      </c>
    </row>
    <row r="237" customFormat="false" ht="15" hidden="false" customHeight="false" outlineLevel="0" collapsed="false">
      <c r="A237" s="22" t="n">
        <v>236</v>
      </c>
      <c r="B237" s="22" t="n">
        <f aca="false">INT((A237-1)/12)+1</f>
        <v>20</v>
      </c>
      <c r="C237" s="23" t="n">
        <f aca="false">IF(B237&gt;=入力!$B$14,入力!$B$15,IF(B237&gt;=入力!$B$12,入力!$B$13,入力!$B$11))</f>
        <v>0.02</v>
      </c>
      <c r="D237" s="24" t="n">
        <f aca="false">H236</f>
        <v>38811231.4766753</v>
      </c>
      <c r="E237" s="24" t="n">
        <f aca="false">-PMT(C237/12,420-A237+1,D237)</f>
        <v>243965.960681775</v>
      </c>
      <c r="F237" s="24" t="n">
        <f aca="false">D237*C237/12</f>
        <v>64685.3857944589</v>
      </c>
      <c r="G237" s="24" t="n">
        <f aca="false">E237-F237</f>
        <v>179280.574887316</v>
      </c>
      <c r="H237" s="24" t="n">
        <f aca="false">D237-G237</f>
        <v>38631950.901788</v>
      </c>
    </row>
    <row r="238" customFormat="false" ht="15" hidden="false" customHeight="false" outlineLevel="0" collapsed="false">
      <c r="A238" s="22" t="n">
        <v>237</v>
      </c>
      <c r="B238" s="22" t="n">
        <f aca="false">INT((A238-1)/12)+1</f>
        <v>20</v>
      </c>
      <c r="C238" s="23" t="n">
        <f aca="false">IF(B238&gt;=入力!$B$14,入力!$B$15,IF(B238&gt;=入力!$B$12,入力!$B$13,入力!$B$11))</f>
        <v>0.02</v>
      </c>
      <c r="D238" s="24" t="n">
        <f aca="false">H237</f>
        <v>38631950.901788</v>
      </c>
      <c r="E238" s="24" t="n">
        <f aca="false">-PMT(C238/12,420-A238+1,D238)</f>
        <v>243965.960681775</v>
      </c>
      <c r="F238" s="24" t="n">
        <f aca="false">D238*C238/12</f>
        <v>64386.5848363134</v>
      </c>
      <c r="G238" s="24" t="n">
        <f aca="false">E238-F238</f>
        <v>179579.375845461</v>
      </c>
      <c r="H238" s="24" t="n">
        <f aca="false">D238-G238</f>
        <v>38452371.5259426</v>
      </c>
    </row>
    <row r="239" customFormat="false" ht="15" hidden="false" customHeight="false" outlineLevel="0" collapsed="false">
      <c r="A239" s="22" t="n">
        <v>238</v>
      </c>
      <c r="B239" s="22" t="n">
        <f aca="false">INT((A239-1)/12)+1</f>
        <v>20</v>
      </c>
      <c r="C239" s="23" t="n">
        <f aca="false">IF(B239&gt;=入力!$B$14,入力!$B$15,IF(B239&gt;=入力!$B$12,入力!$B$13,入力!$B$11))</f>
        <v>0.02</v>
      </c>
      <c r="D239" s="24" t="n">
        <f aca="false">H238</f>
        <v>38452371.5259426</v>
      </c>
      <c r="E239" s="24" t="n">
        <f aca="false">-PMT(C239/12,420-A239+1,D239)</f>
        <v>243965.960681775</v>
      </c>
      <c r="F239" s="24" t="n">
        <f aca="false">D239*C239/12</f>
        <v>64087.2858765709</v>
      </c>
      <c r="G239" s="24" t="n">
        <f aca="false">E239-F239</f>
        <v>179878.674805204</v>
      </c>
      <c r="H239" s="24" t="n">
        <f aca="false">D239-G239</f>
        <v>38272492.8511374</v>
      </c>
    </row>
    <row r="240" customFormat="false" ht="15" hidden="false" customHeight="false" outlineLevel="0" collapsed="false">
      <c r="A240" s="22" t="n">
        <v>239</v>
      </c>
      <c r="B240" s="22" t="n">
        <f aca="false">INT((A240-1)/12)+1</f>
        <v>20</v>
      </c>
      <c r="C240" s="23" t="n">
        <f aca="false">IF(B240&gt;=入力!$B$14,入力!$B$15,IF(B240&gt;=入力!$B$12,入力!$B$13,入力!$B$11))</f>
        <v>0.02</v>
      </c>
      <c r="D240" s="24" t="n">
        <f aca="false">H239</f>
        <v>38272492.8511374</v>
      </c>
      <c r="E240" s="24" t="n">
        <f aca="false">-PMT(C240/12,420-A240+1,D240)</f>
        <v>243965.960681775</v>
      </c>
      <c r="F240" s="24" t="n">
        <f aca="false">D240*C240/12</f>
        <v>63787.4880852289</v>
      </c>
      <c r="G240" s="24" t="n">
        <f aca="false">E240-F240</f>
        <v>180178.472596546</v>
      </c>
      <c r="H240" s="24" t="n">
        <f aca="false">D240-G240</f>
        <v>38092314.3785408</v>
      </c>
    </row>
    <row r="241" customFormat="false" ht="15" hidden="false" customHeight="false" outlineLevel="0" collapsed="false">
      <c r="A241" s="22" t="n">
        <v>240</v>
      </c>
      <c r="B241" s="22" t="n">
        <f aca="false">INT((A241-1)/12)+1</f>
        <v>20</v>
      </c>
      <c r="C241" s="23" t="n">
        <f aca="false">IF(B241&gt;=入力!$B$14,入力!$B$15,IF(B241&gt;=入力!$B$12,入力!$B$13,入力!$B$11))</f>
        <v>0.02</v>
      </c>
      <c r="D241" s="24" t="n">
        <f aca="false">H240</f>
        <v>38092314.3785408</v>
      </c>
      <c r="E241" s="24" t="n">
        <f aca="false">-PMT(C241/12,420-A241+1,D241)</f>
        <v>243965.960681775</v>
      </c>
      <c r="F241" s="24" t="n">
        <f aca="false">D241*C241/12</f>
        <v>63487.1906309014</v>
      </c>
      <c r="G241" s="24" t="n">
        <f aca="false">E241-F241</f>
        <v>180478.770050873</v>
      </c>
      <c r="H241" s="24" t="n">
        <f aca="false">D241-G241</f>
        <v>37911835.6084899</v>
      </c>
    </row>
    <row r="242" customFormat="false" ht="15" hidden="false" customHeight="false" outlineLevel="0" collapsed="false">
      <c r="A242" s="22" t="n">
        <v>241</v>
      </c>
      <c r="B242" s="22" t="n">
        <f aca="false">INT((A242-1)/12)+1</f>
        <v>21</v>
      </c>
      <c r="C242" s="23" t="n">
        <f aca="false">IF(B242&gt;=入力!$B$14,入力!$B$15,IF(B242&gt;=入力!$B$12,入力!$B$13,入力!$B$11))</f>
        <v>0.02</v>
      </c>
      <c r="D242" s="24" t="n">
        <f aca="false">H241</f>
        <v>37911835.6084899</v>
      </c>
      <c r="E242" s="24" t="n">
        <f aca="false">-PMT(C242/12,420-A242+1,D242)</f>
        <v>243965.960681775</v>
      </c>
      <c r="F242" s="24" t="n">
        <f aca="false">D242*C242/12</f>
        <v>63186.3926808166</v>
      </c>
      <c r="G242" s="24" t="n">
        <f aca="false">E242-F242</f>
        <v>180779.568000958</v>
      </c>
      <c r="H242" s="24" t="n">
        <f aca="false">D242-G242</f>
        <v>37731056.040489</v>
      </c>
    </row>
    <row r="243" customFormat="false" ht="15" hidden="false" customHeight="false" outlineLevel="0" collapsed="false">
      <c r="A243" s="22" t="n">
        <v>242</v>
      </c>
      <c r="B243" s="22" t="n">
        <f aca="false">INT((A243-1)/12)+1</f>
        <v>21</v>
      </c>
      <c r="C243" s="23" t="n">
        <f aca="false">IF(B243&gt;=入力!$B$14,入力!$B$15,IF(B243&gt;=入力!$B$12,入力!$B$13,入力!$B$11))</f>
        <v>0.02</v>
      </c>
      <c r="D243" s="24" t="n">
        <f aca="false">H242</f>
        <v>37731056.040489</v>
      </c>
      <c r="E243" s="24" t="n">
        <f aca="false">-PMT(C243/12,420-A243+1,D243)</f>
        <v>243965.960681775</v>
      </c>
      <c r="F243" s="24" t="n">
        <f aca="false">D243*C243/12</f>
        <v>62885.093400815</v>
      </c>
      <c r="G243" s="24" t="n">
        <f aca="false">E243-F243</f>
        <v>181080.86728096</v>
      </c>
      <c r="H243" s="24" t="n">
        <f aca="false">D243-G243</f>
        <v>37549975.173208</v>
      </c>
    </row>
    <row r="244" customFormat="false" ht="15" hidden="false" customHeight="false" outlineLevel="0" collapsed="false">
      <c r="A244" s="22" t="n">
        <v>243</v>
      </c>
      <c r="B244" s="22" t="n">
        <f aca="false">INT((A244-1)/12)+1</f>
        <v>21</v>
      </c>
      <c r="C244" s="23" t="n">
        <f aca="false">IF(B244&gt;=入力!$B$14,入力!$B$15,IF(B244&gt;=入力!$B$12,入力!$B$13,入力!$B$11))</f>
        <v>0.02</v>
      </c>
      <c r="D244" s="24" t="n">
        <f aca="false">H243</f>
        <v>37549975.173208</v>
      </c>
      <c r="E244" s="24" t="n">
        <f aca="false">-PMT(C244/12,420-A244+1,D244)</f>
        <v>243965.960681775</v>
      </c>
      <c r="F244" s="24" t="n">
        <f aca="false">D244*C244/12</f>
        <v>62583.2919553467</v>
      </c>
      <c r="G244" s="24" t="n">
        <f aca="false">E244-F244</f>
        <v>181382.668726428</v>
      </c>
      <c r="H244" s="24" t="n">
        <f aca="false">D244-G244</f>
        <v>37368592.5044816</v>
      </c>
    </row>
    <row r="245" customFormat="false" ht="15" hidden="false" customHeight="false" outlineLevel="0" collapsed="false">
      <c r="A245" s="22" t="n">
        <v>244</v>
      </c>
      <c r="B245" s="22" t="n">
        <f aca="false">INT((A245-1)/12)+1</f>
        <v>21</v>
      </c>
      <c r="C245" s="23" t="n">
        <f aca="false">IF(B245&gt;=入力!$B$14,入力!$B$15,IF(B245&gt;=入力!$B$12,入力!$B$13,入力!$B$11))</f>
        <v>0.02</v>
      </c>
      <c r="D245" s="24" t="n">
        <f aca="false">H244</f>
        <v>37368592.5044816</v>
      </c>
      <c r="E245" s="24" t="n">
        <f aca="false">-PMT(C245/12,420-A245+1,D245)</f>
        <v>243965.960681775</v>
      </c>
      <c r="F245" s="24" t="n">
        <f aca="false">D245*C245/12</f>
        <v>62280.9875074693</v>
      </c>
      <c r="G245" s="24" t="n">
        <f aca="false">E245-F245</f>
        <v>181684.973174305</v>
      </c>
      <c r="H245" s="24" t="n">
        <f aca="false">D245-G245</f>
        <v>37186907.5313073</v>
      </c>
    </row>
    <row r="246" customFormat="false" ht="15" hidden="false" customHeight="false" outlineLevel="0" collapsed="false">
      <c r="A246" s="22" t="n">
        <v>245</v>
      </c>
      <c r="B246" s="22" t="n">
        <f aca="false">INT((A246-1)/12)+1</f>
        <v>21</v>
      </c>
      <c r="C246" s="23" t="n">
        <f aca="false">IF(B246&gt;=入力!$B$14,入力!$B$15,IF(B246&gt;=入力!$B$12,入力!$B$13,入力!$B$11))</f>
        <v>0.02</v>
      </c>
      <c r="D246" s="24" t="n">
        <f aca="false">H245</f>
        <v>37186907.5313073</v>
      </c>
      <c r="E246" s="24" t="n">
        <f aca="false">-PMT(C246/12,420-A246+1,D246)</f>
        <v>243965.960681775</v>
      </c>
      <c r="F246" s="24" t="n">
        <f aca="false">D246*C246/12</f>
        <v>61978.1792188455</v>
      </c>
      <c r="G246" s="24" t="n">
        <f aca="false">E246-F246</f>
        <v>181987.781462929</v>
      </c>
      <c r="H246" s="24" t="n">
        <f aca="false">D246-G246</f>
        <v>37004919.7498444</v>
      </c>
    </row>
    <row r="247" customFormat="false" ht="15" hidden="false" customHeight="false" outlineLevel="0" collapsed="false">
      <c r="A247" s="22" t="n">
        <v>246</v>
      </c>
      <c r="B247" s="22" t="n">
        <f aca="false">INT((A247-1)/12)+1</f>
        <v>21</v>
      </c>
      <c r="C247" s="23" t="n">
        <f aca="false">IF(B247&gt;=入力!$B$14,入力!$B$15,IF(B247&gt;=入力!$B$12,入力!$B$13,入力!$B$11))</f>
        <v>0.02</v>
      </c>
      <c r="D247" s="24" t="n">
        <f aca="false">H246</f>
        <v>37004919.7498444</v>
      </c>
      <c r="E247" s="24" t="n">
        <f aca="false">-PMT(C247/12,420-A247+1,D247)</f>
        <v>243965.960681775</v>
      </c>
      <c r="F247" s="24" t="n">
        <f aca="false">D247*C247/12</f>
        <v>61674.8662497406</v>
      </c>
      <c r="G247" s="24" t="n">
        <f aca="false">E247-F247</f>
        <v>182291.094432034</v>
      </c>
      <c r="H247" s="24" t="n">
        <f aca="false">D247-G247</f>
        <v>36822628.6554123</v>
      </c>
    </row>
    <row r="248" customFormat="false" ht="15" hidden="false" customHeight="false" outlineLevel="0" collapsed="false">
      <c r="A248" s="22" t="n">
        <v>247</v>
      </c>
      <c r="B248" s="22" t="n">
        <f aca="false">INT((A248-1)/12)+1</f>
        <v>21</v>
      </c>
      <c r="C248" s="23" t="n">
        <f aca="false">IF(B248&gt;=入力!$B$14,入力!$B$15,IF(B248&gt;=入力!$B$12,入力!$B$13,入力!$B$11))</f>
        <v>0.02</v>
      </c>
      <c r="D248" s="24" t="n">
        <f aca="false">H247</f>
        <v>36822628.6554123</v>
      </c>
      <c r="E248" s="24" t="n">
        <f aca="false">-PMT(C248/12,420-A248+1,D248)</f>
        <v>243965.960681775</v>
      </c>
      <c r="F248" s="24" t="n">
        <f aca="false">D248*C248/12</f>
        <v>61371.0477590205</v>
      </c>
      <c r="G248" s="24" t="n">
        <f aca="false">E248-F248</f>
        <v>182594.912922754</v>
      </c>
      <c r="H248" s="24" t="n">
        <f aca="false">D248-G248</f>
        <v>36640033.7424896</v>
      </c>
    </row>
    <row r="249" customFormat="false" ht="15" hidden="false" customHeight="false" outlineLevel="0" collapsed="false">
      <c r="A249" s="22" t="n">
        <v>248</v>
      </c>
      <c r="B249" s="22" t="n">
        <f aca="false">INT((A249-1)/12)+1</f>
        <v>21</v>
      </c>
      <c r="C249" s="23" t="n">
        <f aca="false">IF(B249&gt;=入力!$B$14,入力!$B$15,IF(B249&gt;=入力!$B$12,入力!$B$13,入力!$B$11))</f>
        <v>0.02</v>
      </c>
      <c r="D249" s="24" t="n">
        <f aca="false">H248</f>
        <v>36640033.7424896</v>
      </c>
      <c r="E249" s="24" t="n">
        <f aca="false">-PMT(C249/12,420-A249+1,D249)</f>
        <v>243965.960681775</v>
      </c>
      <c r="F249" s="24" t="n">
        <f aca="false">D249*C249/12</f>
        <v>61066.7229041493</v>
      </c>
      <c r="G249" s="24" t="n">
        <f aca="false">E249-F249</f>
        <v>182899.237777625</v>
      </c>
      <c r="H249" s="24" t="n">
        <f aca="false">D249-G249</f>
        <v>36457134.5047119</v>
      </c>
    </row>
    <row r="250" customFormat="false" ht="15" hidden="false" customHeight="false" outlineLevel="0" collapsed="false">
      <c r="A250" s="22" t="n">
        <v>249</v>
      </c>
      <c r="B250" s="22" t="n">
        <f aca="false">INT((A250-1)/12)+1</f>
        <v>21</v>
      </c>
      <c r="C250" s="23" t="n">
        <f aca="false">IF(B250&gt;=入力!$B$14,入力!$B$15,IF(B250&gt;=入力!$B$12,入力!$B$13,入力!$B$11))</f>
        <v>0.02</v>
      </c>
      <c r="D250" s="24" t="n">
        <f aca="false">H249</f>
        <v>36457134.5047119</v>
      </c>
      <c r="E250" s="24" t="n">
        <f aca="false">-PMT(C250/12,420-A250+1,D250)</f>
        <v>243965.960681775</v>
      </c>
      <c r="F250" s="24" t="n">
        <f aca="false">D250*C250/12</f>
        <v>60761.8908411866</v>
      </c>
      <c r="G250" s="24" t="n">
        <f aca="false">E250-F250</f>
        <v>183204.069840588</v>
      </c>
      <c r="H250" s="24" t="n">
        <f aca="false">D250-G250</f>
        <v>36273930.4348714</v>
      </c>
    </row>
    <row r="251" customFormat="false" ht="15" hidden="false" customHeight="false" outlineLevel="0" collapsed="false">
      <c r="A251" s="22" t="n">
        <v>250</v>
      </c>
      <c r="B251" s="22" t="n">
        <f aca="false">INT((A251-1)/12)+1</f>
        <v>21</v>
      </c>
      <c r="C251" s="23" t="n">
        <f aca="false">IF(B251&gt;=入力!$B$14,入力!$B$15,IF(B251&gt;=入力!$B$12,入力!$B$13,入力!$B$11))</f>
        <v>0.02</v>
      </c>
      <c r="D251" s="24" t="n">
        <f aca="false">H250</f>
        <v>36273930.4348714</v>
      </c>
      <c r="E251" s="24" t="n">
        <f aca="false">-PMT(C251/12,420-A251+1,D251)</f>
        <v>243965.960681775</v>
      </c>
      <c r="F251" s="24" t="n">
        <f aca="false">D251*C251/12</f>
        <v>60456.5507247856</v>
      </c>
      <c r="G251" s="24" t="n">
        <f aca="false">E251-F251</f>
        <v>183509.409956989</v>
      </c>
      <c r="H251" s="24" t="n">
        <f aca="false">D251-G251</f>
        <v>36090421.0249144</v>
      </c>
    </row>
    <row r="252" customFormat="false" ht="15" hidden="false" customHeight="false" outlineLevel="0" collapsed="false">
      <c r="A252" s="22" t="n">
        <v>251</v>
      </c>
      <c r="B252" s="22" t="n">
        <f aca="false">INT((A252-1)/12)+1</f>
        <v>21</v>
      </c>
      <c r="C252" s="23" t="n">
        <f aca="false">IF(B252&gt;=入力!$B$14,入力!$B$15,IF(B252&gt;=入力!$B$12,入力!$B$13,入力!$B$11))</f>
        <v>0.02</v>
      </c>
      <c r="D252" s="24" t="n">
        <f aca="false">H251</f>
        <v>36090421.0249144</v>
      </c>
      <c r="E252" s="24" t="n">
        <f aca="false">-PMT(C252/12,420-A252+1,D252)</f>
        <v>243965.960681775</v>
      </c>
      <c r="F252" s="24" t="n">
        <f aca="false">D252*C252/12</f>
        <v>60150.7017081906</v>
      </c>
      <c r="G252" s="24" t="n">
        <f aca="false">E252-F252</f>
        <v>183815.258973584</v>
      </c>
      <c r="H252" s="24" t="n">
        <f aca="false">D252-G252</f>
        <v>35906605.7659408</v>
      </c>
    </row>
    <row r="253" customFormat="false" ht="15" hidden="false" customHeight="false" outlineLevel="0" collapsed="false">
      <c r="A253" s="22" t="n">
        <v>252</v>
      </c>
      <c r="B253" s="22" t="n">
        <f aca="false">INT((A253-1)/12)+1</f>
        <v>21</v>
      </c>
      <c r="C253" s="23" t="n">
        <f aca="false">IF(B253&gt;=入力!$B$14,入力!$B$15,IF(B253&gt;=入力!$B$12,入力!$B$13,入力!$B$11))</f>
        <v>0.02</v>
      </c>
      <c r="D253" s="24" t="n">
        <f aca="false">H252</f>
        <v>35906605.7659408</v>
      </c>
      <c r="E253" s="24" t="n">
        <f aca="false">-PMT(C253/12,420-A253+1,D253)</f>
        <v>243965.960681775</v>
      </c>
      <c r="F253" s="24" t="n">
        <f aca="false">D253*C253/12</f>
        <v>59844.3429432346</v>
      </c>
      <c r="G253" s="24" t="n">
        <f aca="false">E253-F253</f>
        <v>184121.61773854</v>
      </c>
      <c r="H253" s="24" t="n">
        <f aca="false">D253-G253</f>
        <v>35722484.1482022</v>
      </c>
    </row>
    <row r="254" customFormat="false" ht="15" hidden="false" customHeight="false" outlineLevel="0" collapsed="false">
      <c r="A254" s="22" t="n">
        <v>253</v>
      </c>
      <c r="B254" s="22" t="n">
        <f aca="false">INT((A254-1)/12)+1</f>
        <v>22</v>
      </c>
      <c r="C254" s="23" t="n">
        <f aca="false">IF(B254&gt;=入力!$B$14,入力!$B$15,IF(B254&gt;=入力!$B$12,入力!$B$13,入力!$B$11))</f>
        <v>0.02</v>
      </c>
      <c r="D254" s="24" t="n">
        <f aca="false">H253</f>
        <v>35722484.1482022</v>
      </c>
      <c r="E254" s="24" t="n">
        <f aca="false">-PMT(C254/12,420-A254+1,D254)</f>
        <v>243965.960681775</v>
      </c>
      <c r="F254" s="24" t="n">
        <f aca="false">D254*C254/12</f>
        <v>59537.4735803371</v>
      </c>
      <c r="G254" s="24" t="n">
        <f aca="false">E254-F254</f>
        <v>184428.487101438</v>
      </c>
      <c r="H254" s="24" t="n">
        <f aca="false">D254-G254</f>
        <v>35538055.6611008</v>
      </c>
    </row>
    <row r="255" customFormat="false" ht="15" hidden="false" customHeight="false" outlineLevel="0" collapsed="false">
      <c r="A255" s="22" t="n">
        <v>254</v>
      </c>
      <c r="B255" s="22" t="n">
        <f aca="false">INT((A255-1)/12)+1</f>
        <v>22</v>
      </c>
      <c r="C255" s="23" t="n">
        <f aca="false">IF(B255&gt;=入力!$B$14,入力!$B$15,IF(B255&gt;=入力!$B$12,入力!$B$13,入力!$B$11))</f>
        <v>0.02</v>
      </c>
      <c r="D255" s="24" t="n">
        <f aca="false">H254</f>
        <v>35538055.6611008</v>
      </c>
      <c r="E255" s="24" t="n">
        <f aca="false">-PMT(C255/12,420-A255+1,D255)</f>
        <v>243965.960681775</v>
      </c>
      <c r="F255" s="24" t="n">
        <f aca="false">D255*C255/12</f>
        <v>59230.0927685013</v>
      </c>
      <c r="G255" s="24" t="n">
        <f aca="false">E255-F255</f>
        <v>184735.867913273</v>
      </c>
      <c r="H255" s="24" t="n">
        <f aca="false">D255-G255</f>
        <v>35353319.7931875</v>
      </c>
    </row>
    <row r="256" customFormat="false" ht="15" hidden="false" customHeight="false" outlineLevel="0" collapsed="false">
      <c r="A256" s="22" t="n">
        <v>255</v>
      </c>
      <c r="B256" s="22" t="n">
        <f aca="false">INT((A256-1)/12)+1</f>
        <v>22</v>
      </c>
      <c r="C256" s="23" t="n">
        <f aca="false">IF(B256&gt;=入力!$B$14,入力!$B$15,IF(B256&gt;=入力!$B$12,入力!$B$13,入力!$B$11))</f>
        <v>0.02</v>
      </c>
      <c r="D256" s="24" t="n">
        <f aca="false">H255</f>
        <v>35353319.7931875</v>
      </c>
      <c r="E256" s="24" t="n">
        <f aca="false">-PMT(C256/12,420-A256+1,D256)</f>
        <v>243965.960681775</v>
      </c>
      <c r="F256" s="24" t="n">
        <f aca="false">D256*C256/12</f>
        <v>58922.1996553126</v>
      </c>
      <c r="G256" s="24" t="n">
        <f aca="false">E256-F256</f>
        <v>185043.761026462</v>
      </c>
      <c r="H256" s="24" t="n">
        <f aca="false">D256-G256</f>
        <v>35168276.0321611</v>
      </c>
    </row>
    <row r="257" customFormat="false" ht="15" hidden="false" customHeight="false" outlineLevel="0" collapsed="false">
      <c r="A257" s="22" t="n">
        <v>256</v>
      </c>
      <c r="B257" s="22" t="n">
        <f aca="false">INT((A257-1)/12)+1</f>
        <v>22</v>
      </c>
      <c r="C257" s="23" t="n">
        <f aca="false">IF(B257&gt;=入力!$B$14,入力!$B$15,IF(B257&gt;=入力!$B$12,入力!$B$13,入力!$B$11))</f>
        <v>0.02</v>
      </c>
      <c r="D257" s="24" t="n">
        <f aca="false">H256</f>
        <v>35168276.0321611</v>
      </c>
      <c r="E257" s="24" t="n">
        <f aca="false">-PMT(C257/12,420-A257+1,D257)</f>
        <v>243965.960681775</v>
      </c>
      <c r="F257" s="24" t="n">
        <f aca="false">D257*C257/12</f>
        <v>58613.7933869351</v>
      </c>
      <c r="G257" s="24" t="n">
        <f aca="false">E257-F257</f>
        <v>185352.16729484</v>
      </c>
      <c r="H257" s="24" t="n">
        <f aca="false">D257-G257</f>
        <v>34982923.8648662</v>
      </c>
    </row>
    <row r="258" customFormat="false" ht="15" hidden="false" customHeight="false" outlineLevel="0" collapsed="false">
      <c r="A258" s="22" t="n">
        <v>257</v>
      </c>
      <c r="B258" s="22" t="n">
        <f aca="false">INT((A258-1)/12)+1</f>
        <v>22</v>
      </c>
      <c r="C258" s="23" t="n">
        <f aca="false">IF(B258&gt;=入力!$B$14,入力!$B$15,IF(B258&gt;=入力!$B$12,入力!$B$13,入力!$B$11))</f>
        <v>0.02</v>
      </c>
      <c r="D258" s="24" t="n">
        <f aca="false">H257</f>
        <v>34982923.8648662</v>
      </c>
      <c r="E258" s="24" t="n">
        <f aca="false">-PMT(C258/12,420-A258+1,D258)</f>
        <v>243965.960681775</v>
      </c>
      <c r="F258" s="24" t="n">
        <f aca="false">D258*C258/12</f>
        <v>58304.8731081104</v>
      </c>
      <c r="G258" s="24" t="n">
        <f aca="false">E258-F258</f>
        <v>185661.087573664</v>
      </c>
      <c r="H258" s="24" t="n">
        <f aca="false">D258-G258</f>
        <v>34797262.7772926</v>
      </c>
    </row>
    <row r="259" customFormat="false" ht="15" hidden="false" customHeight="false" outlineLevel="0" collapsed="false">
      <c r="A259" s="22" t="n">
        <v>258</v>
      </c>
      <c r="B259" s="22" t="n">
        <f aca="false">INT((A259-1)/12)+1</f>
        <v>22</v>
      </c>
      <c r="C259" s="23" t="n">
        <f aca="false">IF(B259&gt;=入力!$B$14,入力!$B$15,IF(B259&gt;=入力!$B$12,入力!$B$13,入力!$B$11))</f>
        <v>0.02</v>
      </c>
      <c r="D259" s="24" t="n">
        <f aca="false">H258</f>
        <v>34797262.7772926</v>
      </c>
      <c r="E259" s="24" t="n">
        <f aca="false">-PMT(C259/12,420-A259+1,D259)</f>
        <v>243965.960681775</v>
      </c>
      <c r="F259" s="24" t="n">
        <f aca="false">D259*C259/12</f>
        <v>57995.4379621543</v>
      </c>
      <c r="G259" s="24" t="n">
        <f aca="false">E259-F259</f>
        <v>185970.52271962</v>
      </c>
      <c r="H259" s="24" t="n">
        <f aca="false">D259-G259</f>
        <v>34611292.2545729</v>
      </c>
    </row>
    <row r="260" customFormat="false" ht="15" hidden="false" customHeight="false" outlineLevel="0" collapsed="false">
      <c r="A260" s="22" t="n">
        <v>259</v>
      </c>
      <c r="B260" s="22" t="n">
        <f aca="false">INT((A260-1)/12)+1</f>
        <v>22</v>
      </c>
      <c r="C260" s="23" t="n">
        <f aca="false">IF(B260&gt;=入力!$B$14,入力!$B$15,IF(B260&gt;=入力!$B$12,入力!$B$13,入力!$B$11))</f>
        <v>0.02</v>
      </c>
      <c r="D260" s="24" t="n">
        <f aca="false">H259</f>
        <v>34611292.2545729</v>
      </c>
      <c r="E260" s="24" t="n">
        <f aca="false">-PMT(C260/12,420-A260+1,D260)</f>
        <v>243965.960681775</v>
      </c>
      <c r="F260" s="24" t="n">
        <f aca="false">D260*C260/12</f>
        <v>57685.4870909549</v>
      </c>
      <c r="G260" s="24" t="n">
        <f aca="false">E260-F260</f>
        <v>186280.47359082</v>
      </c>
      <c r="H260" s="24" t="n">
        <f aca="false">D260-G260</f>
        <v>34425011.7809821</v>
      </c>
    </row>
    <row r="261" customFormat="false" ht="15" hidden="false" customHeight="false" outlineLevel="0" collapsed="false">
      <c r="A261" s="22" t="n">
        <v>260</v>
      </c>
      <c r="B261" s="22" t="n">
        <f aca="false">INT((A261-1)/12)+1</f>
        <v>22</v>
      </c>
      <c r="C261" s="23" t="n">
        <f aca="false">IF(B261&gt;=入力!$B$14,入力!$B$15,IF(B261&gt;=入力!$B$12,入力!$B$13,入力!$B$11))</f>
        <v>0.02</v>
      </c>
      <c r="D261" s="24" t="n">
        <f aca="false">H260</f>
        <v>34425011.7809821</v>
      </c>
      <c r="E261" s="24" t="n">
        <f aca="false">-PMT(C261/12,420-A261+1,D261)</f>
        <v>243965.960681775</v>
      </c>
      <c r="F261" s="24" t="n">
        <f aca="false">D261*C261/12</f>
        <v>57375.0196349702</v>
      </c>
      <c r="G261" s="24" t="n">
        <f aca="false">E261-F261</f>
        <v>186590.941046805</v>
      </c>
      <c r="H261" s="24" t="n">
        <f aca="false">D261-G261</f>
        <v>34238420.8399353</v>
      </c>
    </row>
    <row r="262" customFormat="false" ht="15" hidden="false" customHeight="false" outlineLevel="0" collapsed="false">
      <c r="A262" s="22" t="n">
        <v>261</v>
      </c>
      <c r="B262" s="22" t="n">
        <f aca="false">INT((A262-1)/12)+1</f>
        <v>22</v>
      </c>
      <c r="C262" s="23" t="n">
        <f aca="false">IF(B262&gt;=入力!$B$14,入力!$B$15,IF(B262&gt;=入力!$B$12,入力!$B$13,入力!$B$11))</f>
        <v>0.02</v>
      </c>
      <c r="D262" s="24" t="n">
        <f aca="false">H261</f>
        <v>34238420.8399353</v>
      </c>
      <c r="E262" s="24" t="n">
        <f aca="false">-PMT(C262/12,420-A262+1,D262)</f>
        <v>243965.960681775</v>
      </c>
      <c r="F262" s="24" t="n">
        <f aca="false">D262*C262/12</f>
        <v>57064.0347332255</v>
      </c>
      <c r="G262" s="24" t="n">
        <f aca="false">E262-F262</f>
        <v>186901.925948549</v>
      </c>
      <c r="H262" s="24" t="n">
        <f aca="false">D262-G262</f>
        <v>34051518.9139868</v>
      </c>
    </row>
    <row r="263" customFormat="false" ht="15" hidden="false" customHeight="false" outlineLevel="0" collapsed="false">
      <c r="A263" s="22" t="n">
        <v>262</v>
      </c>
      <c r="B263" s="22" t="n">
        <f aca="false">INT((A263-1)/12)+1</f>
        <v>22</v>
      </c>
      <c r="C263" s="23" t="n">
        <f aca="false">IF(B263&gt;=入力!$B$14,入力!$B$15,IF(B263&gt;=入力!$B$12,入力!$B$13,入力!$B$11))</f>
        <v>0.02</v>
      </c>
      <c r="D263" s="24" t="n">
        <f aca="false">H262</f>
        <v>34051518.9139868</v>
      </c>
      <c r="E263" s="24" t="n">
        <f aca="false">-PMT(C263/12,420-A263+1,D263)</f>
        <v>243965.960681775</v>
      </c>
      <c r="F263" s="24" t="n">
        <f aca="false">D263*C263/12</f>
        <v>56752.5315233113</v>
      </c>
      <c r="G263" s="24" t="n">
        <f aca="false">E263-F263</f>
        <v>187213.429158463</v>
      </c>
      <c r="H263" s="24" t="n">
        <f aca="false">D263-G263</f>
        <v>33864305.4848283</v>
      </c>
    </row>
    <row r="264" customFormat="false" ht="15" hidden="false" customHeight="false" outlineLevel="0" collapsed="false">
      <c r="A264" s="22" t="n">
        <v>263</v>
      </c>
      <c r="B264" s="22" t="n">
        <f aca="false">INT((A264-1)/12)+1</f>
        <v>22</v>
      </c>
      <c r="C264" s="23" t="n">
        <f aca="false">IF(B264&gt;=入力!$B$14,入力!$B$15,IF(B264&gt;=入力!$B$12,入力!$B$13,入力!$B$11))</f>
        <v>0.02</v>
      </c>
      <c r="D264" s="24" t="n">
        <f aca="false">H263</f>
        <v>33864305.4848283</v>
      </c>
      <c r="E264" s="24" t="n">
        <f aca="false">-PMT(C264/12,420-A264+1,D264)</f>
        <v>243965.960681775</v>
      </c>
      <c r="F264" s="24" t="n">
        <f aca="false">D264*C264/12</f>
        <v>56440.5091413805</v>
      </c>
      <c r="G264" s="24" t="n">
        <f aca="false">E264-F264</f>
        <v>187525.451540394</v>
      </c>
      <c r="H264" s="24" t="n">
        <f aca="false">D264-G264</f>
        <v>33676780.0332879</v>
      </c>
    </row>
    <row r="265" customFormat="false" ht="15" hidden="false" customHeight="false" outlineLevel="0" collapsed="false">
      <c r="A265" s="22" t="n">
        <v>264</v>
      </c>
      <c r="B265" s="22" t="n">
        <f aca="false">INT((A265-1)/12)+1</f>
        <v>22</v>
      </c>
      <c r="C265" s="23" t="n">
        <f aca="false">IF(B265&gt;=入力!$B$14,入力!$B$15,IF(B265&gt;=入力!$B$12,入力!$B$13,入力!$B$11))</f>
        <v>0.02</v>
      </c>
      <c r="D265" s="24" t="n">
        <f aca="false">H264</f>
        <v>33676780.0332879</v>
      </c>
      <c r="E265" s="24" t="n">
        <f aca="false">-PMT(C265/12,420-A265+1,D265)</f>
        <v>243965.960681775</v>
      </c>
      <c r="F265" s="24" t="n">
        <f aca="false">D265*C265/12</f>
        <v>56127.9667221465</v>
      </c>
      <c r="G265" s="24" t="n">
        <f aca="false">E265-F265</f>
        <v>187837.993959628</v>
      </c>
      <c r="H265" s="24" t="n">
        <f aca="false">D265-G265</f>
        <v>33488942.0393283</v>
      </c>
    </row>
    <row r="266" customFormat="false" ht="15" hidden="false" customHeight="false" outlineLevel="0" collapsed="false">
      <c r="A266" s="22" t="n">
        <v>265</v>
      </c>
      <c r="B266" s="22" t="n">
        <f aca="false">INT((A266-1)/12)+1</f>
        <v>23</v>
      </c>
      <c r="C266" s="23" t="n">
        <f aca="false">IF(B266&gt;=入力!$B$14,入力!$B$15,IF(B266&gt;=入力!$B$12,入力!$B$13,入力!$B$11))</f>
        <v>0.02</v>
      </c>
      <c r="D266" s="24" t="n">
        <f aca="false">H265</f>
        <v>33488942.0393283</v>
      </c>
      <c r="E266" s="24" t="n">
        <f aca="false">-PMT(C266/12,420-A266+1,D266)</f>
        <v>243965.960681775</v>
      </c>
      <c r="F266" s="24" t="n">
        <f aca="false">D266*C266/12</f>
        <v>55814.9033988805</v>
      </c>
      <c r="G266" s="24" t="n">
        <f aca="false">E266-F266</f>
        <v>188151.057282894</v>
      </c>
      <c r="H266" s="24" t="n">
        <f aca="false">D266-G266</f>
        <v>33300790.9820454</v>
      </c>
    </row>
    <row r="267" customFormat="false" ht="15" hidden="false" customHeight="false" outlineLevel="0" collapsed="false">
      <c r="A267" s="22" t="n">
        <v>266</v>
      </c>
      <c r="B267" s="22" t="n">
        <f aca="false">INT((A267-1)/12)+1</f>
        <v>23</v>
      </c>
      <c r="C267" s="23" t="n">
        <f aca="false">IF(B267&gt;=入力!$B$14,入力!$B$15,IF(B267&gt;=入力!$B$12,入力!$B$13,入力!$B$11))</f>
        <v>0.02</v>
      </c>
      <c r="D267" s="24" t="n">
        <f aca="false">H266</f>
        <v>33300790.9820454</v>
      </c>
      <c r="E267" s="24" t="n">
        <f aca="false">-PMT(C267/12,420-A267+1,D267)</f>
        <v>243965.960681775</v>
      </c>
      <c r="F267" s="24" t="n">
        <f aca="false">D267*C267/12</f>
        <v>55501.318303409</v>
      </c>
      <c r="G267" s="24" t="n">
        <f aca="false">E267-F267</f>
        <v>188464.642378366</v>
      </c>
      <c r="H267" s="24" t="n">
        <f aca="false">D267-G267</f>
        <v>33112326.339667</v>
      </c>
    </row>
    <row r="268" customFormat="false" ht="15" hidden="false" customHeight="false" outlineLevel="0" collapsed="false">
      <c r="A268" s="22" t="n">
        <v>267</v>
      </c>
      <c r="B268" s="22" t="n">
        <f aca="false">INT((A268-1)/12)+1</f>
        <v>23</v>
      </c>
      <c r="C268" s="23" t="n">
        <f aca="false">IF(B268&gt;=入力!$B$14,入力!$B$15,IF(B268&gt;=入力!$B$12,入力!$B$13,入力!$B$11))</f>
        <v>0.02</v>
      </c>
      <c r="D268" s="24" t="n">
        <f aca="false">H267</f>
        <v>33112326.339667</v>
      </c>
      <c r="E268" s="24" t="n">
        <f aca="false">-PMT(C268/12,420-A268+1,D268)</f>
        <v>243965.960681775</v>
      </c>
      <c r="F268" s="24" t="n">
        <f aca="false">D268*C268/12</f>
        <v>55187.2105661117</v>
      </c>
      <c r="G268" s="24" t="n">
        <f aca="false">E268-F268</f>
        <v>188778.750115663</v>
      </c>
      <c r="H268" s="24" t="n">
        <f aca="false">D268-G268</f>
        <v>32923547.5895514</v>
      </c>
    </row>
    <row r="269" customFormat="false" ht="15" hidden="false" customHeight="false" outlineLevel="0" collapsed="false">
      <c r="A269" s="22" t="n">
        <v>268</v>
      </c>
      <c r="B269" s="22" t="n">
        <f aca="false">INT((A269-1)/12)+1</f>
        <v>23</v>
      </c>
      <c r="C269" s="23" t="n">
        <f aca="false">IF(B269&gt;=入力!$B$14,入力!$B$15,IF(B269&gt;=入力!$B$12,入力!$B$13,入力!$B$11))</f>
        <v>0.02</v>
      </c>
      <c r="D269" s="24" t="n">
        <f aca="false">H268</f>
        <v>32923547.5895514</v>
      </c>
      <c r="E269" s="24" t="n">
        <f aca="false">-PMT(C269/12,420-A269+1,D269)</f>
        <v>243965.960681775</v>
      </c>
      <c r="F269" s="24" t="n">
        <f aca="false">D269*C269/12</f>
        <v>54872.5793159189</v>
      </c>
      <c r="G269" s="24" t="n">
        <f aca="false">E269-F269</f>
        <v>189093.381365856</v>
      </c>
      <c r="H269" s="24" t="n">
        <f aca="false">D269-G269</f>
        <v>32734454.2081855</v>
      </c>
    </row>
    <row r="270" customFormat="false" ht="15" hidden="false" customHeight="false" outlineLevel="0" collapsed="false">
      <c r="A270" s="22" t="n">
        <v>269</v>
      </c>
      <c r="B270" s="22" t="n">
        <f aca="false">INT((A270-1)/12)+1</f>
        <v>23</v>
      </c>
      <c r="C270" s="23" t="n">
        <f aca="false">IF(B270&gt;=入力!$B$14,入力!$B$15,IF(B270&gt;=入力!$B$12,入力!$B$13,入力!$B$11))</f>
        <v>0.02</v>
      </c>
      <c r="D270" s="24" t="n">
        <f aca="false">H269</f>
        <v>32734454.2081855</v>
      </c>
      <c r="E270" s="24" t="n">
        <f aca="false">-PMT(C270/12,420-A270+1,D270)</f>
        <v>243965.960681775</v>
      </c>
      <c r="F270" s="24" t="n">
        <f aca="false">D270*C270/12</f>
        <v>54557.4236803092</v>
      </c>
      <c r="G270" s="24" t="n">
        <f aca="false">E270-F270</f>
        <v>189408.537001465</v>
      </c>
      <c r="H270" s="24" t="n">
        <f aca="false">D270-G270</f>
        <v>32545045.671184</v>
      </c>
    </row>
    <row r="271" customFormat="false" ht="15" hidden="false" customHeight="false" outlineLevel="0" collapsed="false">
      <c r="A271" s="22" t="n">
        <v>270</v>
      </c>
      <c r="B271" s="22" t="n">
        <f aca="false">INT((A271-1)/12)+1</f>
        <v>23</v>
      </c>
      <c r="C271" s="23" t="n">
        <f aca="false">IF(B271&gt;=入力!$B$14,入力!$B$15,IF(B271&gt;=入力!$B$12,入力!$B$13,入力!$B$11))</f>
        <v>0.02</v>
      </c>
      <c r="D271" s="24" t="n">
        <f aca="false">H270</f>
        <v>32545045.671184</v>
      </c>
      <c r="E271" s="24" t="n">
        <f aca="false">-PMT(C271/12,420-A271+1,D271)</f>
        <v>243965.960681775</v>
      </c>
      <c r="F271" s="24" t="n">
        <f aca="false">D271*C271/12</f>
        <v>54241.7427853067</v>
      </c>
      <c r="G271" s="24" t="n">
        <f aca="false">E271-F271</f>
        <v>189724.217896468</v>
      </c>
      <c r="H271" s="24" t="n">
        <f aca="false">D271-G271</f>
        <v>32355321.4532876</v>
      </c>
    </row>
    <row r="272" customFormat="false" ht="15" hidden="false" customHeight="false" outlineLevel="0" collapsed="false">
      <c r="A272" s="22" t="n">
        <v>271</v>
      </c>
      <c r="B272" s="22" t="n">
        <f aca="false">INT((A272-1)/12)+1</f>
        <v>23</v>
      </c>
      <c r="C272" s="23" t="n">
        <f aca="false">IF(B272&gt;=入力!$B$14,入力!$B$15,IF(B272&gt;=入力!$B$12,入力!$B$13,入力!$B$11))</f>
        <v>0.02</v>
      </c>
      <c r="D272" s="24" t="n">
        <f aca="false">H271</f>
        <v>32355321.4532876</v>
      </c>
      <c r="E272" s="24" t="n">
        <f aca="false">-PMT(C272/12,420-A272+1,D272)</f>
        <v>243965.960681775</v>
      </c>
      <c r="F272" s="24" t="n">
        <f aca="false">D272*C272/12</f>
        <v>53925.5357554793</v>
      </c>
      <c r="G272" s="24" t="n">
        <f aca="false">E272-F272</f>
        <v>190040.424926295</v>
      </c>
      <c r="H272" s="24" t="n">
        <f aca="false">D272-G272</f>
        <v>32165281.0283613</v>
      </c>
    </row>
    <row r="273" customFormat="false" ht="15" hidden="false" customHeight="false" outlineLevel="0" collapsed="false">
      <c r="A273" s="22" t="n">
        <v>272</v>
      </c>
      <c r="B273" s="22" t="n">
        <f aca="false">INT((A273-1)/12)+1</f>
        <v>23</v>
      </c>
      <c r="C273" s="23" t="n">
        <f aca="false">IF(B273&gt;=入力!$B$14,入力!$B$15,IF(B273&gt;=入力!$B$12,入力!$B$13,入力!$B$11))</f>
        <v>0.02</v>
      </c>
      <c r="D273" s="24" t="n">
        <f aca="false">H272</f>
        <v>32165281.0283613</v>
      </c>
      <c r="E273" s="24" t="n">
        <f aca="false">-PMT(C273/12,420-A273+1,D273)</f>
        <v>243965.960681775</v>
      </c>
      <c r="F273" s="24" t="n">
        <f aca="false">D273*C273/12</f>
        <v>53608.8017139355</v>
      </c>
      <c r="G273" s="24" t="n">
        <f aca="false">E273-F273</f>
        <v>190357.158967839</v>
      </c>
      <c r="H273" s="24" t="n">
        <f aca="false">D273-G273</f>
        <v>31974923.8693934</v>
      </c>
    </row>
    <row r="274" customFormat="false" ht="15" hidden="false" customHeight="false" outlineLevel="0" collapsed="false">
      <c r="A274" s="22" t="n">
        <v>273</v>
      </c>
      <c r="B274" s="22" t="n">
        <f aca="false">INT((A274-1)/12)+1</f>
        <v>23</v>
      </c>
      <c r="C274" s="23" t="n">
        <f aca="false">IF(B274&gt;=入力!$B$14,入力!$B$15,IF(B274&gt;=入力!$B$12,入力!$B$13,入力!$B$11))</f>
        <v>0.02</v>
      </c>
      <c r="D274" s="24" t="n">
        <f aca="false">H273</f>
        <v>31974923.8693934</v>
      </c>
      <c r="E274" s="24" t="n">
        <f aca="false">-PMT(C274/12,420-A274+1,D274)</f>
        <v>243965.960681775</v>
      </c>
      <c r="F274" s="24" t="n">
        <f aca="false">D274*C274/12</f>
        <v>53291.5397823224</v>
      </c>
      <c r="G274" s="24" t="n">
        <f aca="false">E274-F274</f>
        <v>190674.420899452</v>
      </c>
      <c r="H274" s="24" t="n">
        <f aca="false">D274-G274</f>
        <v>31784249.448494</v>
      </c>
    </row>
    <row r="275" customFormat="false" ht="15" hidden="false" customHeight="false" outlineLevel="0" collapsed="false">
      <c r="A275" s="22" t="n">
        <v>274</v>
      </c>
      <c r="B275" s="22" t="n">
        <f aca="false">INT((A275-1)/12)+1</f>
        <v>23</v>
      </c>
      <c r="C275" s="23" t="n">
        <f aca="false">IF(B275&gt;=入力!$B$14,入力!$B$15,IF(B275&gt;=入力!$B$12,入力!$B$13,入力!$B$11))</f>
        <v>0.02</v>
      </c>
      <c r="D275" s="24" t="n">
        <f aca="false">H274</f>
        <v>31784249.448494</v>
      </c>
      <c r="E275" s="24" t="n">
        <f aca="false">-PMT(C275/12,420-A275+1,D275)</f>
        <v>243965.960681775</v>
      </c>
      <c r="F275" s="24" t="n">
        <f aca="false">D275*C275/12</f>
        <v>52973.7490808233</v>
      </c>
      <c r="G275" s="24" t="n">
        <f aca="false">E275-F275</f>
        <v>190992.211600951</v>
      </c>
      <c r="H275" s="24" t="n">
        <f aca="false">D275-G275</f>
        <v>31593257.236893</v>
      </c>
    </row>
    <row r="276" customFormat="false" ht="15" hidden="false" customHeight="false" outlineLevel="0" collapsed="false">
      <c r="A276" s="22" t="n">
        <v>275</v>
      </c>
      <c r="B276" s="22" t="n">
        <f aca="false">INT((A276-1)/12)+1</f>
        <v>23</v>
      </c>
      <c r="C276" s="23" t="n">
        <f aca="false">IF(B276&gt;=入力!$B$14,入力!$B$15,IF(B276&gt;=入力!$B$12,入力!$B$13,入力!$B$11))</f>
        <v>0.02</v>
      </c>
      <c r="D276" s="24" t="n">
        <f aca="false">H275</f>
        <v>31593257.236893</v>
      </c>
      <c r="E276" s="24" t="n">
        <f aca="false">-PMT(C276/12,420-A276+1,D276)</f>
        <v>243965.960681775</v>
      </c>
      <c r="F276" s="24" t="n">
        <f aca="false">D276*C276/12</f>
        <v>52655.428728155</v>
      </c>
      <c r="G276" s="24" t="n">
        <f aca="false">E276-F276</f>
        <v>191310.53195362</v>
      </c>
      <c r="H276" s="24" t="n">
        <f aca="false">D276-G276</f>
        <v>31401946.7049394</v>
      </c>
    </row>
    <row r="277" customFormat="false" ht="15" hidden="false" customHeight="false" outlineLevel="0" collapsed="false">
      <c r="A277" s="22" t="n">
        <v>276</v>
      </c>
      <c r="B277" s="22" t="n">
        <f aca="false">INT((A277-1)/12)+1</f>
        <v>23</v>
      </c>
      <c r="C277" s="23" t="n">
        <f aca="false">IF(B277&gt;=入力!$B$14,入力!$B$15,IF(B277&gt;=入力!$B$12,入力!$B$13,入力!$B$11))</f>
        <v>0.02</v>
      </c>
      <c r="D277" s="24" t="n">
        <f aca="false">H276</f>
        <v>31401946.7049394</v>
      </c>
      <c r="E277" s="24" t="n">
        <f aca="false">-PMT(C277/12,420-A277+1,D277)</f>
        <v>243965.960681775</v>
      </c>
      <c r="F277" s="24" t="n">
        <f aca="false">D277*C277/12</f>
        <v>52336.5778415657</v>
      </c>
      <c r="G277" s="24" t="n">
        <f aca="false">E277-F277</f>
        <v>191629.382840209</v>
      </c>
      <c r="H277" s="24" t="n">
        <f aca="false">D277-G277</f>
        <v>31210317.3220992</v>
      </c>
    </row>
    <row r="278" customFormat="false" ht="15" hidden="false" customHeight="false" outlineLevel="0" collapsed="false">
      <c r="A278" s="22" t="n">
        <v>277</v>
      </c>
      <c r="B278" s="22" t="n">
        <f aca="false">INT((A278-1)/12)+1</f>
        <v>24</v>
      </c>
      <c r="C278" s="23" t="n">
        <f aca="false">IF(B278&gt;=入力!$B$14,入力!$B$15,IF(B278&gt;=入力!$B$12,入力!$B$13,入力!$B$11))</f>
        <v>0.02</v>
      </c>
      <c r="D278" s="24" t="n">
        <f aca="false">H277</f>
        <v>31210317.3220992</v>
      </c>
      <c r="E278" s="24" t="n">
        <f aca="false">-PMT(C278/12,420-A278+1,D278)</f>
        <v>243965.960681775</v>
      </c>
      <c r="F278" s="24" t="n">
        <f aca="false">D278*C278/12</f>
        <v>52017.195536832</v>
      </c>
      <c r="G278" s="24" t="n">
        <f aca="false">E278-F278</f>
        <v>191948.765144943</v>
      </c>
      <c r="H278" s="24" t="n">
        <f aca="false">D278-G278</f>
        <v>31018368.5569543</v>
      </c>
    </row>
    <row r="279" customFormat="false" ht="15" hidden="false" customHeight="false" outlineLevel="0" collapsed="false">
      <c r="A279" s="22" t="n">
        <v>278</v>
      </c>
      <c r="B279" s="22" t="n">
        <f aca="false">INT((A279-1)/12)+1</f>
        <v>24</v>
      </c>
      <c r="C279" s="23" t="n">
        <f aca="false">IF(B279&gt;=入力!$B$14,入力!$B$15,IF(B279&gt;=入力!$B$12,入力!$B$13,入力!$B$11))</f>
        <v>0.02</v>
      </c>
      <c r="D279" s="24" t="n">
        <f aca="false">H278</f>
        <v>31018368.5569543</v>
      </c>
      <c r="E279" s="24" t="n">
        <f aca="false">-PMT(C279/12,420-A279+1,D279)</f>
        <v>243965.960681775</v>
      </c>
      <c r="F279" s="24" t="n">
        <f aca="false">D279*C279/12</f>
        <v>51697.2809282571</v>
      </c>
      <c r="G279" s="24" t="n">
        <f aca="false">E279-F279</f>
        <v>192268.679753518</v>
      </c>
      <c r="H279" s="24" t="n">
        <f aca="false">D279-G279</f>
        <v>30826099.8772007</v>
      </c>
    </row>
    <row r="280" customFormat="false" ht="15" hidden="false" customHeight="false" outlineLevel="0" collapsed="false">
      <c r="A280" s="22" t="n">
        <v>279</v>
      </c>
      <c r="B280" s="22" t="n">
        <f aca="false">INT((A280-1)/12)+1</f>
        <v>24</v>
      </c>
      <c r="C280" s="23" t="n">
        <f aca="false">IF(B280&gt;=入力!$B$14,入力!$B$15,IF(B280&gt;=入力!$B$12,入力!$B$13,入力!$B$11))</f>
        <v>0.02</v>
      </c>
      <c r="D280" s="24" t="n">
        <f aca="false">H279</f>
        <v>30826099.8772007</v>
      </c>
      <c r="E280" s="24" t="n">
        <f aca="false">-PMT(C280/12,420-A280+1,D280)</f>
        <v>243965.960681775</v>
      </c>
      <c r="F280" s="24" t="n">
        <f aca="false">D280*C280/12</f>
        <v>51376.8331286679</v>
      </c>
      <c r="G280" s="24" t="n">
        <f aca="false">E280-F280</f>
        <v>192589.127553107</v>
      </c>
      <c r="H280" s="24" t="n">
        <f aca="false">D280-G280</f>
        <v>30633510.7496476</v>
      </c>
    </row>
    <row r="281" customFormat="false" ht="15" hidden="false" customHeight="false" outlineLevel="0" collapsed="false">
      <c r="A281" s="22" t="n">
        <v>280</v>
      </c>
      <c r="B281" s="22" t="n">
        <f aca="false">INT((A281-1)/12)+1</f>
        <v>24</v>
      </c>
      <c r="C281" s="23" t="n">
        <f aca="false">IF(B281&gt;=入力!$B$14,入力!$B$15,IF(B281&gt;=入力!$B$12,入力!$B$13,入力!$B$11))</f>
        <v>0.02</v>
      </c>
      <c r="D281" s="24" t="n">
        <f aca="false">H280</f>
        <v>30633510.7496476</v>
      </c>
      <c r="E281" s="24" t="n">
        <f aca="false">-PMT(C281/12,420-A281+1,D281)</f>
        <v>243965.960681775</v>
      </c>
      <c r="F281" s="24" t="n">
        <f aca="false">D281*C281/12</f>
        <v>51055.8512494127</v>
      </c>
      <c r="G281" s="24" t="n">
        <f aca="false">E281-F281</f>
        <v>192910.109432362</v>
      </c>
      <c r="H281" s="24" t="n">
        <f aca="false">D281-G281</f>
        <v>30440600.6402153</v>
      </c>
    </row>
    <row r="282" customFormat="false" ht="15" hidden="false" customHeight="false" outlineLevel="0" collapsed="false">
      <c r="A282" s="22" t="n">
        <v>281</v>
      </c>
      <c r="B282" s="22" t="n">
        <f aca="false">INT((A282-1)/12)+1</f>
        <v>24</v>
      </c>
      <c r="C282" s="23" t="n">
        <f aca="false">IF(B282&gt;=入力!$B$14,入力!$B$15,IF(B282&gt;=入力!$B$12,入力!$B$13,入力!$B$11))</f>
        <v>0.02</v>
      </c>
      <c r="D282" s="24" t="n">
        <f aca="false">H281</f>
        <v>30440600.6402153</v>
      </c>
      <c r="E282" s="24" t="n">
        <f aca="false">-PMT(C282/12,420-A282+1,D282)</f>
        <v>243965.960681775</v>
      </c>
      <c r="F282" s="24" t="n">
        <f aca="false">D282*C282/12</f>
        <v>50734.3344003588</v>
      </c>
      <c r="G282" s="24" t="n">
        <f aca="false">E282-F282</f>
        <v>193231.626281416</v>
      </c>
      <c r="H282" s="24" t="n">
        <f aca="false">D282-G282</f>
        <v>30247369.0139339</v>
      </c>
    </row>
    <row r="283" customFormat="false" ht="15" hidden="false" customHeight="false" outlineLevel="0" collapsed="false">
      <c r="A283" s="22" t="n">
        <v>282</v>
      </c>
      <c r="B283" s="22" t="n">
        <f aca="false">INT((A283-1)/12)+1</f>
        <v>24</v>
      </c>
      <c r="C283" s="23" t="n">
        <f aca="false">IF(B283&gt;=入力!$B$14,入力!$B$15,IF(B283&gt;=入力!$B$12,入力!$B$13,入力!$B$11))</f>
        <v>0.02</v>
      </c>
      <c r="D283" s="24" t="n">
        <f aca="false">H282</f>
        <v>30247369.0139339</v>
      </c>
      <c r="E283" s="24" t="n">
        <f aca="false">-PMT(C283/12,420-A283+1,D283)</f>
        <v>243965.960681775</v>
      </c>
      <c r="F283" s="24" t="n">
        <f aca="false">D283*C283/12</f>
        <v>50412.2816898898</v>
      </c>
      <c r="G283" s="24" t="n">
        <f aca="false">E283-F283</f>
        <v>193553.678991885</v>
      </c>
      <c r="H283" s="24" t="n">
        <f aca="false">D283-G283</f>
        <v>30053815.334942</v>
      </c>
    </row>
    <row r="284" customFormat="false" ht="15" hidden="false" customHeight="false" outlineLevel="0" collapsed="false">
      <c r="A284" s="22" t="n">
        <v>283</v>
      </c>
      <c r="B284" s="22" t="n">
        <f aca="false">INT((A284-1)/12)+1</f>
        <v>24</v>
      </c>
      <c r="C284" s="23" t="n">
        <f aca="false">IF(B284&gt;=入力!$B$14,入力!$B$15,IF(B284&gt;=入力!$B$12,入力!$B$13,入力!$B$11))</f>
        <v>0.02</v>
      </c>
      <c r="D284" s="24" t="n">
        <f aca="false">H283</f>
        <v>30053815.334942</v>
      </c>
      <c r="E284" s="24" t="n">
        <f aca="false">-PMT(C284/12,420-A284+1,D284)</f>
        <v>243965.960681775</v>
      </c>
      <c r="F284" s="24" t="n">
        <f aca="false">D284*C284/12</f>
        <v>50089.6922249033</v>
      </c>
      <c r="G284" s="24" t="n">
        <f aca="false">E284-F284</f>
        <v>193876.268456871</v>
      </c>
      <c r="H284" s="24" t="n">
        <f aca="false">D284-G284</f>
        <v>29859939.0664851</v>
      </c>
    </row>
    <row r="285" customFormat="false" ht="15" hidden="false" customHeight="false" outlineLevel="0" collapsed="false">
      <c r="A285" s="22" t="n">
        <v>284</v>
      </c>
      <c r="B285" s="22" t="n">
        <f aca="false">INT((A285-1)/12)+1</f>
        <v>24</v>
      </c>
      <c r="C285" s="23" t="n">
        <f aca="false">IF(B285&gt;=入力!$B$14,入力!$B$15,IF(B285&gt;=入力!$B$12,入力!$B$13,入力!$B$11))</f>
        <v>0.02</v>
      </c>
      <c r="D285" s="24" t="n">
        <f aca="false">H284</f>
        <v>29859939.0664851</v>
      </c>
      <c r="E285" s="24" t="n">
        <f aca="false">-PMT(C285/12,420-A285+1,D285)</f>
        <v>243965.960681775</v>
      </c>
      <c r="F285" s="24" t="n">
        <f aca="false">D285*C285/12</f>
        <v>49766.5651108085</v>
      </c>
      <c r="G285" s="24" t="n">
        <f aca="false">E285-F285</f>
        <v>194199.395570966</v>
      </c>
      <c r="H285" s="24" t="n">
        <f aca="false">D285-G285</f>
        <v>29665739.6709141</v>
      </c>
    </row>
    <row r="286" customFormat="false" ht="15" hidden="false" customHeight="false" outlineLevel="0" collapsed="false">
      <c r="A286" s="22" t="n">
        <v>285</v>
      </c>
      <c r="B286" s="22" t="n">
        <f aca="false">INT((A286-1)/12)+1</f>
        <v>24</v>
      </c>
      <c r="C286" s="23" t="n">
        <f aca="false">IF(B286&gt;=入力!$B$14,入力!$B$15,IF(B286&gt;=入力!$B$12,入力!$B$13,入力!$B$11))</f>
        <v>0.02</v>
      </c>
      <c r="D286" s="24" t="n">
        <f aca="false">H285</f>
        <v>29665739.6709141</v>
      </c>
      <c r="E286" s="24" t="n">
        <f aca="false">-PMT(C286/12,420-A286+1,D286)</f>
        <v>243965.960681775</v>
      </c>
      <c r="F286" s="24" t="n">
        <f aca="false">D286*C286/12</f>
        <v>49442.8994515236</v>
      </c>
      <c r="G286" s="24" t="n">
        <f aca="false">E286-F286</f>
        <v>194523.061230251</v>
      </c>
      <c r="H286" s="24" t="n">
        <f aca="false">D286-G286</f>
        <v>29471216.6096839</v>
      </c>
    </row>
    <row r="287" customFormat="false" ht="15" hidden="false" customHeight="false" outlineLevel="0" collapsed="false">
      <c r="A287" s="22" t="n">
        <v>286</v>
      </c>
      <c r="B287" s="22" t="n">
        <f aca="false">INT((A287-1)/12)+1</f>
        <v>24</v>
      </c>
      <c r="C287" s="23" t="n">
        <f aca="false">IF(B287&gt;=入力!$B$14,入力!$B$15,IF(B287&gt;=入力!$B$12,入力!$B$13,入力!$B$11))</f>
        <v>0.02</v>
      </c>
      <c r="D287" s="24" t="n">
        <f aca="false">H286</f>
        <v>29471216.6096839</v>
      </c>
      <c r="E287" s="24" t="n">
        <f aca="false">-PMT(C287/12,420-A287+1,D287)</f>
        <v>243965.960681775</v>
      </c>
      <c r="F287" s="24" t="n">
        <f aca="false">D287*C287/12</f>
        <v>49118.6943494731</v>
      </c>
      <c r="G287" s="24" t="n">
        <f aca="false">E287-F287</f>
        <v>194847.266332302</v>
      </c>
      <c r="H287" s="24" t="n">
        <f aca="false">D287-G287</f>
        <v>29276369.3433516</v>
      </c>
    </row>
    <row r="288" customFormat="false" ht="15" hidden="false" customHeight="false" outlineLevel="0" collapsed="false">
      <c r="A288" s="22" t="n">
        <v>287</v>
      </c>
      <c r="B288" s="22" t="n">
        <f aca="false">INT((A288-1)/12)+1</f>
        <v>24</v>
      </c>
      <c r="C288" s="23" t="n">
        <f aca="false">IF(B288&gt;=入力!$B$14,入力!$B$15,IF(B288&gt;=入力!$B$12,入力!$B$13,入力!$B$11))</f>
        <v>0.02</v>
      </c>
      <c r="D288" s="24" t="n">
        <f aca="false">H287</f>
        <v>29276369.3433516</v>
      </c>
      <c r="E288" s="24" t="n">
        <f aca="false">-PMT(C288/12,420-A288+1,D288)</f>
        <v>243965.960681775</v>
      </c>
      <c r="F288" s="24" t="n">
        <f aca="false">D288*C288/12</f>
        <v>48793.948905586</v>
      </c>
      <c r="G288" s="24" t="n">
        <f aca="false">E288-F288</f>
        <v>195172.011776189</v>
      </c>
      <c r="H288" s="24" t="n">
        <f aca="false">D288-G288</f>
        <v>29081197.3315754</v>
      </c>
    </row>
    <row r="289" customFormat="false" ht="15" hidden="false" customHeight="false" outlineLevel="0" collapsed="false">
      <c r="A289" s="22" t="n">
        <v>288</v>
      </c>
      <c r="B289" s="22" t="n">
        <f aca="false">INT((A289-1)/12)+1</f>
        <v>24</v>
      </c>
      <c r="C289" s="23" t="n">
        <f aca="false">IF(B289&gt;=入力!$B$14,入力!$B$15,IF(B289&gt;=入力!$B$12,入力!$B$13,入力!$B$11))</f>
        <v>0.02</v>
      </c>
      <c r="D289" s="24" t="n">
        <f aca="false">H288</f>
        <v>29081197.3315754</v>
      </c>
      <c r="E289" s="24" t="n">
        <f aca="false">-PMT(C289/12,420-A289+1,D289)</f>
        <v>243965.960681775</v>
      </c>
      <c r="F289" s="24" t="n">
        <f aca="false">D289*C289/12</f>
        <v>48468.6622192923</v>
      </c>
      <c r="G289" s="24" t="n">
        <f aca="false">E289-F289</f>
        <v>195497.298462482</v>
      </c>
      <c r="H289" s="24" t="n">
        <f aca="false">D289-G289</f>
        <v>28885700.0331129</v>
      </c>
    </row>
    <row r="290" customFormat="false" ht="15" hidden="false" customHeight="false" outlineLevel="0" collapsed="false">
      <c r="A290" s="22" t="n">
        <v>289</v>
      </c>
      <c r="B290" s="22" t="n">
        <f aca="false">INT((A290-1)/12)+1</f>
        <v>25</v>
      </c>
      <c r="C290" s="23" t="n">
        <f aca="false">IF(B290&gt;=入力!$B$14,入力!$B$15,IF(B290&gt;=入力!$B$12,入力!$B$13,入力!$B$11))</f>
        <v>0.02</v>
      </c>
      <c r="D290" s="24" t="n">
        <f aca="false">H289</f>
        <v>28885700.0331129</v>
      </c>
      <c r="E290" s="24" t="n">
        <f aca="false">-PMT(C290/12,420-A290+1,D290)</f>
        <v>243965.960681775</v>
      </c>
      <c r="F290" s="24" t="n">
        <f aca="false">D290*C290/12</f>
        <v>48142.8333885215</v>
      </c>
      <c r="G290" s="24" t="n">
        <f aca="false">E290-F290</f>
        <v>195823.127293253</v>
      </c>
      <c r="H290" s="24" t="n">
        <f aca="false">D290-G290</f>
        <v>28689876.9058197</v>
      </c>
    </row>
    <row r="291" customFormat="false" ht="15" hidden="false" customHeight="false" outlineLevel="0" collapsed="false">
      <c r="A291" s="22" t="n">
        <v>290</v>
      </c>
      <c r="B291" s="22" t="n">
        <f aca="false">INT((A291-1)/12)+1</f>
        <v>25</v>
      </c>
      <c r="C291" s="23" t="n">
        <f aca="false">IF(B291&gt;=入力!$B$14,入力!$B$15,IF(B291&gt;=入力!$B$12,入力!$B$13,入力!$B$11))</f>
        <v>0.02</v>
      </c>
      <c r="D291" s="24" t="n">
        <f aca="false">H290</f>
        <v>28689876.9058197</v>
      </c>
      <c r="E291" s="24" t="n">
        <f aca="false">-PMT(C291/12,420-A291+1,D291)</f>
        <v>243965.960681775</v>
      </c>
      <c r="F291" s="24" t="n">
        <f aca="false">D291*C291/12</f>
        <v>47816.4615096994</v>
      </c>
      <c r="G291" s="24" t="n">
        <f aca="false">E291-F291</f>
        <v>196149.499172075</v>
      </c>
      <c r="H291" s="24" t="n">
        <f aca="false">D291-G291</f>
        <v>28493727.4066476</v>
      </c>
    </row>
    <row r="292" customFormat="false" ht="15" hidden="false" customHeight="false" outlineLevel="0" collapsed="false">
      <c r="A292" s="22" t="n">
        <v>291</v>
      </c>
      <c r="B292" s="22" t="n">
        <f aca="false">INT((A292-1)/12)+1</f>
        <v>25</v>
      </c>
      <c r="C292" s="23" t="n">
        <f aca="false">IF(B292&gt;=入力!$B$14,入力!$B$15,IF(B292&gt;=入力!$B$12,入力!$B$13,入力!$B$11))</f>
        <v>0.02</v>
      </c>
      <c r="D292" s="24" t="n">
        <f aca="false">H291</f>
        <v>28493727.4066476</v>
      </c>
      <c r="E292" s="24" t="n">
        <f aca="false">-PMT(C292/12,420-A292+1,D292)</f>
        <v>243965.960681775</v>
      </c>
      <c r="F292" s="24" t="n">
        <f aca="false">D292*C292/12</f>
        <v>47489.545677746</v>
      </c>
      <c r="G292" s="24" t="n">
        <f aca="false">E292-F292</f>
        <v>196476.415004029</v>
      </c>
      <c r="H292" s="24" t="n">
        <f aca="false">D292-G292</f>
        <v>28297250.9916436</v>
      </c>
    </row>
    <row r="293" customFormat="false" ht="15" hidden="false" customHeight="false" outlineLevel="0" collapsed="false">
      <c r="A293" s="22" t="n">
        <v>292</v>
      </c>
      <c r="B293" s="22" t="n">
        <f aca="false">INT((A293-1)/12)+1</f>
        <v>25</v>
      </c>
      <c r="C293" s="23" t="n">
        <f aca="false">IF(B293&gt;=入力!$B$14,入力!$B$15,IF(B293&gt;=入力!$B$12,入力!$B$13,入力!$B$11))</f>
        <v>0.02</v>
      </c>
      <c r="D293" s="24" t="n">
        <f aca="false">H292</f>
        <v>28297250.9916436</v>
      </c>
      <c r="E293" s="24" t="n">
        <f aca="false">-PMT(C293/12,420-A293+1,D293)</f>
        <v>243965.960681775</v>
      </c>
      <c r="F293" s="24" t="n">
        <f aca="false">D293*C293/12</f>
        <v>47162.0849860726</v>
      </c>
      <c r="G293" s="24" t="n">
        <f aca="false">E293-F293</f>
        <v>196803.875695702</v>
      </c>
      <c r="H293" s="24" t="n">
        <f aca="false">D293-G293</f>
        <v>28100447.1159479</v>
      </c>
    </row>
    <row r="294" customFormat="false" ht="15" hidden="false" customHeight="false" outlineLevel="0" collapsed="false">
      <c r="A294" s="22" t="n">
        <v>293</v>
      </c>
      <c r="B294" s="22" t="n">
        <f aca="false">INT((A294-1)/12)+1</f>
        <v>25</v>
      </c>
      <c r="C294" s="23" t="n">
        <f aca="false">IF(B294&gt;=入力!$B$14,入力!$B$15,IF(B294&gt;=入力!$B$12,入力!$B$13,入力!$B$11))</f>
        <v>0.02</v>
      </c>
      <c r="D294" s="24" t="n">
        <f aca="false">H293</f>
        <v>28100447.1159479</v>
      </c>
      <c r="E294" s="24" t="n">
        <f aca="false">-PMT(C294/12,420-A294+1,D294)</f>
        <v>243965.960681775</v>
      </c>
      <c r="F294" s="24" t="n">
        <f aca="false">D294*C294/12</f>
        <v>46834.0785265798</v>
      </c>
      <c r="G294" s="24" t="n">
        <f aca="false">E294-F294</f>
        <v>197131.882155195</v>
      </c>
      <c r="H294" s="24" t="n">
        <f aca="false">D294-G294</f>
        <v>27903315.2337927</v>
      </c>
    </row>
    <row r="295" customFormat="false" ht="15" hidden="false" customHeight="false" outlineLevel="0" collapsed="false">
      <c r="A295" s="22" t="n">
        <v>294</v>
      </c>
      <c r="B295" s="22" t="n">
        <f aca="false">INT((A295-1)/12)+1</f>
        <v>25</v>
      </c>
      <c r="C295" s="23" t="n">
        <f aca="false">IF(B295&gt;=入力!$B$14,入力!$B$15,IF(B295&gt;=入力!$B$12,入力!$B$13,入力!$B$11))</f>
        <v>0.02</v>
      </c>
      <c r="D295" s="24" t="n">
        <f aca="false">H294</f>
        <v>27903315.2337927</v>
      </c>
      <c r="E295" s="24" t="n">
        <f aca="false">-PMT(C295/12,420-A295+1,D295)</f>
        <v>243965.960681775</v>
      </c>
      <c r="F295" s="24" t="n">
        <f aca="false">D295*C295/12</f>
        <v>46505.5253896544</v>
      </c>
      <c r="G295" s="24" t="n">
        <f aca="false">E295-F295</f>
        <v>197460.43529212</v>
      </c>
      <c r="H295" s="24" t="n">
        <f aca="false">D295-G295</f>
        <v>27705854.7985005</v>
      </c>
    </row>
    <row r="296" customFormat="false" ht="15" hidden="false" customHeight="false" outlineLevel="0" collapsed="false">
      <c r="A296" s="22" t="n">
        <v>295</v>
      </c>
      <c r="B296" s="22" t="n">
        <f aca="false">INT((A296-1)/12)+1</f>
        <v>25</v>
      </c>
      <c r="C296" s="23" t="n">
        <f aca="false">IF(B296&gt;=入力!$B$14,入力!$B$15,IF(B296&gt;=入力!$B$12,入力!$B$13,入力!$B$11))</f>
        <v>0.02</v>
      </c>
      <c r="D296" s="24" t="n">
        <f aca="false">H295</f>
        <v>27705854.7985005</v>
      </c>
      <c r="E296" s="24" t="n">
        <f aca="false">-PMT(C296/12,420-A296+1,D296)</f>
        <v>243965.960681775</v>
      </c>
      <c r="F296" s="24" t="n">
        <f aca="false">D296*C296/12</f>
        <v>46176.4246641676</v>
      </c>
      <c r="G296" s="24" t="n">
        <f aca="false">E296-F296</f>
        <v>197789.536017607</v>
      </c>
      <c r="H296" s="24" t="n">
        <f aca="false">D296-G296</f>
        <v>27508065.2624829</v>
      </c>
    </row>
    <row r="297" customFormat="false" ht="15" hidden="false" customHeight="false" outlineLevel="0" collapsed="false">
      <c r="A297" s="22" t="n">
        <v>296</v>
      </c>
      <c r="B297" s="22" t="n">
        <f aca="false">INT((A297-1)/12)+1</f>
        <v>25</v>
      </c>
      <c r="C297" s="23" t="n">
        <f aca="false">IF(B297&gt;=入力!$B$14,入力!$B$15,IF(B297&gt;=入力!$B$12,入力!$B$13,入力!$B$11))</f>
        <v>0.02</v>
      </c>
      <c r="D297" s="24" t="n">
        <f aca="false">H296</f>
        <v>27508065.2624829</v>
      </c>
      <c r="E297" s="24" t="n">
        <f aca="false">-PMT(C297/12,420-A297+1,D297)</f>
        <v>243965.960681775</v>
      </c>
      <c r="F297" s="24" t="n">
        <f aca="false">D297*C297/12</f>
        <v>45846.7754374715</v>
      </c>
      <c r="G297" s="24" t="n">
        <f aca="false">E297-F297</f>
        <v>198119.185244303</v>
      </c>
      <c r="H297" s="24" t="n">
        <f aca="false">D297-G297</f>
        <v>27309946.0772386</v>
      </c>
    </row>
    <row r="298" customFormat="false" ht="15" hidden="false" customHeight="false" outlineLevel="0" collapsed="false">
      <c r="A298" s="22" t="n">
        <v>297</v>
      </c>
      <c r="B298" s="22" t="n">
        <f aca="false">INT((A298-1)/12)+1</f>
        <v>25</v>
      </c>
      <c r="C298" s="23" t="n">
        <f aca="false">IF(B298&gt;=入力!$B$14,入力!$B$15,IF(B298&gt;=入力!$B$12,入力!$B$13,入力!$B$11))</f>
        <v>0.02</v>
      </c>
      <c r="D298" s="24" t="n">
        <f aca="false">H297</f>
        <v>27309946.0772386</v>
      </c>
      <c r="E298" s="24" t="n">
        <f aca="false">-PMT(C298/12,420-A298+1,D298)</f>
        <v>243965.960681775</v>
      </c>
      <c r="F298" s="24" t="n">
        <f aca="false">D298*C298/12</f>
        <v>45516.5767953977</v>
      </c>
      <c r="G298" s="24" t="n">
        <f aca="false">E298-F298</f>
        <v>198449.383886377</v>
      </c>
      <c r="H298" s="24" t="n">
        <f aca="false">D298-G298</f>
        <v>27111496.6933522</v>
      </c>
    </row>
    <row r="299" customFormat="false" ht="15" hidden="false" customHeight="false" outlineLevel="0" collapsed="false">
      <c r="A299" s="22" t="n">
        <v>298</v>
      </c>
      <c r="B299" s="22" t="n">
        <f aca="false">INT((A299-1)/12)+1</f>
        <v>25</v>
      </c>
      <c r="C299" s="23" t="n">
        <f aca="false">IF(B299&gt;=入力!$B$14,入力!$B$15,IF(B299&gt;=入力!$B$12,入力!$B$13,入力!$B$11))</f>
        <v>0.02</v>
      </c>
      <c r="D299" s="24" t="n">
        <f aca="false">H298</f>
        <v>27111496.6933522</v>
      </c>
      <c r="E299" s="24" t="n">
        <f aca="false">-PMT(C299/12,420-A299+1,D299)</f>
        <v>243965.960681775</v>
      </c>
      <c r="F299" s="24" t="n">
        <f aca="false">D299*C299/12</f>
        <v>45185.8278222537</v>
      </c>
      <c r="G299" s="24" t="n">
        <f aca="false">E299-F299</f>
        <v>198780.132859521</v>
      </c>
      <c r="H299" s="24" t="n">
        <f aca="false">D299-G299</f>
        <v>26912716.5604927</v>
      </c>
    </row>
    <row r="300" customFormat="false" ht="15" hidden="false" customHeight="false" outlineLevel="0" collapsed="false">
      <c r="A300" s="22" t="n">
        <v>299</v>
      </c>
      <c r="B300" s="22" t="n">
        <f aca="false">INT((A300-1)/12)+1</f>
        <v>25</v>
      </c>
      <c r="C300" s="23" t="n">
        <f aca="false">IF(B300&gt;=入力!$B$14,入力!$B$15,IF(B300&gt;=入力!$B$12,入力!$B$13,入力!$B$11))</f>
        <v>0.02</v>
      </c>
      <c r="D300" s="24" t="n">
        <f aca="false">H299</f>
        <v>26912716.5604927</v>
      </c>
      <c r="E300" s="24" t="n">
        <f aca="false">-PMT(C300/12,420-A300+1,D300)</f>
        <v>243965.960681775</v>
      </c>
      <c r="F300" s="24" t="n">
        <f aca="false">D300*C300/12</f>
        <v>44854.5276008212</v>
      </c>
      <c r="G300" s="24" t="n">
        <f aca="false">E300-F300</f>
        <v>199111.433080953</v>
      </c>
      <c r="H300" s="24" t="n">
        <f aca="false">D300-G300</f>
        <v>26713605.1274118</v>
      </c>
    </row>
    <row r="301" customFormat="false" ht="15" hidden="false" customHeight="false" outlineLevel="0" collapsed="false">
      <c r="A301" s="22" t="n">
        <v>300</v>
      </c>
      <c r="B301" s="22" t="n">
        <f aca="false">INT((A301-1)/12)+1</f>
        <v>25</v>
      </c>
      <c r="C301" s="23" t="n">
        <f aca="false">IF(B301&gt;=入力!$B$14,入力!$B$15,IF(B301&gt;=入力!$B$12,入力!$B$13,入力!$B$11))</f>
        <v>0.02</v>
      </c>
      <c r="D301" s="24" t="n">
        <f aca="false">H300</f>
        <v>26713605.1274118</v>
      </c>
      <c r="E301" s="24" t="n">
        <f aca="false">-PMT(C301/12,420-A301+1,D301)</f>
        <v>243965.960681775</v>
      </c>
      <c r="F301" s="24" t="n">
        <f aca="false">D301*C301/12</f>
        <v>44522.675212353</v>
      </c>
      <c r="G301" s="24" t="n">
        <f aca="false">E301-F301</f>
        <v>199443.285469422</v>
      </c>
      <c r="H301" s="24" t="n">
        <f aca="false">D301-G301</f>
        <v>26514161.8419424</v>
      </c>
    </row>
    <row r="302" customFormat="false" ht="15" hidden="false" customHeight="false" outlineLevel="0" collapsed="false">
      <c r="A302" s="22" t="n">
        <v>301</v>
      </c>
      <c r="B302" s="22" t="n">
        <f aca="false">INT((A302-1)/12)+1</f>
        <v>26</v>
      </c>
      <c r="C302" s="23" t="n">
        <f aca="false">IF(B302&gt;=入力!$B$14,入力!$B$15,IF(B302&gt;=入力!$B$12,入力!$B$13,入力!$B$11))</f>
        <v>0.02</v>
      </c>
      <c r="D302" s="24" t="n">
        <f aca="false">H301</f>
        <v>26514161.8419424</v>
      </c>
      <c r="E302" s="24" t="n">
        <f aca="false">-PMT(C302/12,420-A302+1,D302)</f>
        <v>243965.960681775</v>
      </c>
      <c r="F302" s="24" t="n">
        <f aca="false">D302*C302/12</f>
        <v>44190.2697365706</v>
      </c>
      <c r="G302" s="24" t="n">
        <f aca="false">E302-F302</f>
        <v>199775.690945204</v>
      </c>
      <c r="H302" s="24" t="n">
        <f aca="false">D302-G302</f>
        <v>26314386.1509971</v>
      </c>
    </row>
    <row r="303" customFormat="false" ht="15" hidden="false" customHeight="false" outlineLevel="0" collapsed="false">
      <c r="A303" s="22" t="n">
        <v>302</v>
      </c>
      <c r="B303" s="22" t="n">
        <f aca="false">INT((A303-1)/12)+1</f>
        <v>26</v>
      </c>
      <c r="C303" s="23" t="n">
        <f aca="false">IF(B303&gt;=入力!$B$14,入力!$B$15,IF(B303&gt;=入力!$B$12,入力!$B$13,入力!$B$11))</f>
        <v>0.02</v>
      </c>
      <c r="D303" s="24" t="n">
        <f aca="false">H302</f>
        <v>26314386.1509971</v>
      </c>
      <c r="E303" s="24" t="n">
        <f aca="false">-PMT(C303/12,420-A303+1,D303)</f>
        <v>243965.960681775</v>
      </c>
      <c r="F303" s="24" t="n">
        <f aca="false">D303*C303/12</f>
        <v>43857.3102516619</v>
      </c>
      <c r="G303" s="24" t="n">
        <f aca="false">E303-F303</f>
        <v>200108.650430113</v>
      </c>
      <c r="H303" s="24" t="n">
        <f aca="false">D303-G303</f>
        <v>26114277.500567</v>
      </c>
    </row>
    <row r="304" customFormat="false" ht="15" hidden="false" customHeight="false" outlineLevel="0" collapsed="false">
      <c r="A304" s="22" t="n">
        <v>303</v>
      </c>
      <c r="B304" s="22" t="n">
        <f aca="false">INT((A304-1)/12)+1</f>
        <v>26</v>
      </c>
      <c r="C304" s="23" t="n">
        <f aca="false">IF(B304&gt;=入力!$B$14,入力!$B$15,IF(B304&gt;=入力!$B$12,入力!$B$13,入力!$B$11))</f>
        <v>0.02</v>
      </c>
      <c r="D304" s="24" t="n">
        <f aca="false">H303</f>
        <v>26114277.500567</v>
      </c>
      <c r="E304" s="24" t="n">
        <f aca="false">-PMT(C304/12,420-A304+1,D304)</f>
        <v>243965.960681775</v>
      </c>
      <c r="F304" s="24" t="n">
        <f aca="false">D304*C304/12</f>
        <v>43523.7958342784</v>
      </c>
      <c r="G304" s="24" t="n">
        <f aca="false">E304-F304</f>
        <v>200442.164847496</v>
      </c>
      <c r="H304" s="24" t="n">
        <f aca="false">D304-G304</f>
        <v>25913835.3357195</v>
      </c>
    </row>
    <row r="305" customFormat="false" ht="15" hidden="false" customHeight="false" outlineLevel="0" collapsed="false">
      <c r="A305" s="22" t="n">
        <v>304</v>
      </c>
      <c r="B305" s="22" t="n">
        <f aca="false">INT((A305-1)/12)+1</f>
        <v>26</v>
      </c>
      <c r="C305" s="23" t="n">
        <f aca="false">IF(B305&gt;=入力!$B$14,入力!$B$15,IF(B305&gt;=入力!$B$12,入力!$B$13,入力!$B$11))</f>
        <v>0.02</v>
      </c>
      <c r="D305" s="24" t="n">
        <f aca="false">H304</f>
        <v>25913835.3357195</v>
      </c>
      <c r="E305" s="24" t="n">
        <f aca="false">-PMT(C305/12,420-A305+1,D305)</f>
        <v>243965.960681775</v>
      </c>
      <c r="F305" s="24" t="n">
        <f aca="false">D305*C305/12</f>
        <v>43189.7255595326</v>
      </c>
      <c r="G305" s="24" t="n">
        <f aca="false">E305-F305</f>
        <v>200776.235122242</v>
      </c>
      <c r="H305" s="24" t="n">
        <f aca="false">D305-G305</f>
        <v>25713059.1005973</v>
      </c>
    </row>
    <row r="306" customFormat="false" ht="15" hidden="false" customHeight="false" outlineLevel="0" collapsed="false">
      <c r="A306" s="22" t="n">
        <v>305</v>
      </c>
      <c r="B306" s="22" t="n">
        <f aca="false">INT((A306-1)/12)+1</f>
        <v>26</v>
      </c>
      <c r="C306" s="23" t="n">
        <f aca="false">IF(B306&gt;=入力!$B$14,入力!$B$15,IF(B306&gt;=入力!$B$12,入力!$B$13,入力!$B$11))</f>
        <v>0.02</v>
      </c>
      <c r="D306" s="24" t="n">
        <f aca="false">H305</f>
        <v>25713059.1005973</v>
      </c>
      <c r="E306" s="24" t="n">
        <f aca="false">-PMT(C306/12,420-A306+1,D306)</f>
        <v>243965.960681775</v>
      </c>
      <c r="F306" s="24" t="n">
        <f aca="false">D306*C306/12</f>
        <v>42855.0985009955</v>
      </c>
      <c r="G306" s="24" t="n">
        <f aca="false">E306-F306</f>
        <v>201110.862180779</v>
      </c>
      <c r="H306" s="24" t="n">
        <f aca="false">D306-G306</f>
        <v>25511948.2384165</v>
      </c>
    </row>
    <row r="307" customFormat="false" ht="15" hidden="false" customHeight="false" outlineLevel="0" collapsed="false">
      <c r="A307" s="22" t="n">
        <v>306</v>
      </c>
      <c r="B307" s="22" t="n">
        <f aca="false">INT((A307-1)/12)+1</f>
        <v>26</v>
      </c>
      <c r="C307" s="23" t="n">
        <f aca="false">IF(B307&gt;=入力!$B$14,入力!$B$15,IF(B307&gt;=入力!$B$12,入力!$B$13,入力!$B$11))</f>
        <v>0.02</v>
      </c>
      <c r="D307" s="24" t="n">
        <f aca="false">H306</f>
        <v>25511948.2384165</v>
      </c>
      <c r="E307" s="24" t="n">
        <f aca="false">-PMT(C307/12,420-A307+1,D307)</f>
        <v>243965.960681775</v>
      </c>
      <c r="F307" s="24" t="n">
        <f aca="false">D307*C307/12</f>
        <v>42519.9137306942</v>
      </c>
      <c r="G307" s="24" t="n">
        <f aca="false">E307-F307</f>
        <v>201446.046951081</v>
      </c>
      <c r="H307" s="24" t="n">
        <f aca="false">D307-G307</f>
        <v>25310502.1914654</v>
      </c>
    </row>
    <row r="308" customFormat="false" ht="15" hidden="false" customHeight="false" outlineLevel="0" collapsed="false">
      <c r="A308" s="22" t="n">
        <v>307</v>
      </c>
      <c r="B308" s="22" t="n">
        <f aca="false">INT((A308-1)/12)+1</f>
        <v>26</v>
      </c>
      <c r="C308" s="23" t="n">
        <f aca="false">IF(B308&gt;=入力!$B$14,入力!$B$15,IF(B308&gt;=入力!$B$12,入力!$B$13,入力!$B$11))</f>
        <v>0.02</v>
      </c>
      <c r="D308" s="24" t="n">
        <f aca="false">H307</f>
        <v>25310502.1914654</v>
      </c>
      <c r="E308" s="24" t="n">
        <f aca="false">-PMT(C308/12,420-A308+1,D308)</f>
        <v>243965.960681775</v>
      </c>
      <c r="F308" s="24" t="n">
        <f aca="false">D308*C308/12</f>
        <v>42184.1703191091</v>
      </c>
      <c r="G308" s="24" t="n">
        <f aca="false">E308-F308</f>
        <v>201781.790362666</v>
      </c>
      <c r="H308" s="24" t="n">
        <f aca="false">D308-G308</f>
        <v>25108720.4011028</v>
      </c>
    </row>
    <row r="309" customFormat="false" ht="15" hidden="false" customHeight="false" outlineLevel="0" collapsed="false">
      <c r="A309" s="22" t="n">
        <v>308</v>
      </c>
      <c r="B309" s="22" t="n">
        <f aca="false">INT((A309-1)/12)+1</f>
        <v>26</v>
      </c>
      <c r="C309" s="23" t="n">
        <f aca="false">IF(B309&gt;=入力!$B$14,入力!$B$15,IF(B309&gt;=入力!$B$12,入力!$B$13,入力!$B$11))</f>
        <v>0.02</v>
      </c>
      <c r="D309" s="24" t="n">
        <f aca="false">H308</f>
        <v>25108720.4011028</v>
      </c>
      <c r="E309" s="24" t="n">
        <f aca="false">-PMT(C309/12,420-A309+1,D309)</f>
        <v>243965.960681775</v>
      </c>
      <c r="F309" s="24" t="n">
        <f aca="false">D309*C309/12</f>
        <v>41847.8673351713</v>
      </c>
      <c r="G309" s="24" t="n">
        <f aca="false">E309-F309</f>
        <v>202118.093346603</v>
      </c>
      <c r="H309" s="24" t="n">
        <f aca="false">D309-G309</f>
        <v>24906602.3077562</v>
      </c>
    </row>
    <row r="310" customFormat="false" ht="15" hidden="false" customHeight="false" outlineLevel="0" collapsed="false">
      <c r="A310" s="22" t="n">
        <v>309</v>
      </c>
      <c r="B310" s="22" t="n">
        <f aca="false">INT((A310-1)/12)+1</f>
        <v>26</v>
      </c>
      <c r="C310" s="23" t="n">
        <f aca="false">IF(B310&gt;=入力!$B$14,入力!$B$15,IF(B310&gt;=入力!$B$12,入力!$B$13,入力!$B$11))</f>
        <v>0.02</v>
      </c>
      <c r="D310" s="24" t="n">
        <f aca="false">H309</f>
        <v>24906602.3077562</v>
      </c>
      <c r="E310" s="24" t="n">
        <f aca="false">-PMT(C310/12,420-A310+1,D310)</f>
        <v>243965.960681775</v>
      </c>
      <c r="F310" s="24" t="n">
        <f aca="false">D310*C310/12</f>
        <v>41511.0038462603</v>
      </c>
      <c r="G310" s="24" t="n">
        <f aca="false">E310-F310</f>
        <v>202454.956835514</v>
      </c>
      <c r="H310" s="24" t="n">
        <f aca="false">D310-G310</f>
        <v>24704147.3509206</v>
      </c>
    </row>
    <row r="311" customFormat="false" ht="15" hidden="false" customHeight="false" outlineLevel="0" collapsed="false">
      <c r="A311" s="22" t="n">
        <v>310</v>
      </c>
      <c r="B311" s="22" t="n">
        <f aca="false">INT((A311-1)/12)+1</f>
        <v>26</v>
      </c>
      <c r="C311" s="23" t="n">
        <f aca="false">IF(B311&gt;=入力!$B$14,入力!$B$15,IF(B311&gt;=入力!$B$12,入力!$B$13,入力!$B$11))</f>
        <v>0.02</v>
      </c>
      <c r="D311" s="24" t="n">
        <f aca="false">H310</f>
        <v>24704147.3509206</v>
      </c>
      <c r="E311" s="24" t="n">
        <f aca="false">-PMT(C311/12,420-A311+1,D311)</f>
        <v>243965.960681775</v>
      </c>
      <c r="F311" s="24" t="n">
        <f aca="false">D311*C311/12</f>
        <v>41173.5789182011</v>
      </c>
      <c r="G311" s="24" t="n">
        <f aca="false">E311-F311</f>
        <v>202792.381763574</v>
      </c>
      <c r="H311" s="24" t="n">
        <f aca="false">D311-G311</f>
        <v>24501354.9691571</v>
      </c>
    </row>
    <row r="312" customFormat="false" ht="15" hidden="false" customHeight="false" outlineLevel="0" collapsed="false">
      <c r="A312" s="22" t="n">
        <v>311</v>
      </c>
      <c r="B312" s="22" t="n">
        <f aca="false">INT((A312-1)/12)+1</f>
        <v>26</v>
      </c>
      <c r="C312" s="23" t="n">
        <f aca="false">IF(B312&gt;=入力!$B$14,入力!$B$15,IF(B312&gt;=入力!$B$12,入力!$B$13,入力!$B$11))</f>
        <v>0.02</v>
      </c>
      <c r="D312" s="24" t="n">
        <f aca="false">H311</f>
        <v>24501354.9691571</v>
      </c>
      <c r="E312" s="24" t="n">
        <f aca="false">-PMT(C312/12,420-A312+1,D312)</f>
        <v>243965.960681775</v>
      </c>
      <c r="F312" s="24" t="n">
        <f aca="false">D312*C312/12</f>
        <v>40835.5916152618</v>
      </c>
      <c r="G312" s="24" t="n">
        <f aca="false">E312-F312</f>
        <v>203130.369066513</v>
      </c>
      <c r="H312" s="24" t="n">
        <f aca="false">D312-G312</f>
        <v>24298224.6000906</v>
      </c>
    </row>
    <row r="313" customFormat="false" ht="15" hidden="false" customHeight="false" outlineLevel="0" collapsed="false">
      <c r="A313" s="22" t="n">
        <v>312</v>
      </c>
      <c r="B313" s="22" t="n">
        <f aca="false">INT((A313-1)/12)+1</f>
        <v>26</v>
      </c>
      <c r="C313" s="23" t="n">
        <f aca="false">IF(B313&gt;=入力!$B$14,入力!$B$15,IF(B313&gt;=入力!$B$12,入力!$B$13,入力!$B$11))</f>
        <v>0.02</v>
      </c>
      <c r="D313" s="24" t="n">
        <f aca="false">H312</f>
        <v>24298224.6000906</v>
      </c>
      <c r="E313" s="24" t="n">
        <f aca="false">-PMT(C313/12,420-A313+1,D313)</f>
        <v>243965.960681775</v>
      </c>
      <c r="F313" s="24" t="n">
        <f aca="false">D313*C313/12</f>
        <v>40497.0410001509</v>
      </c>
      <c r="G313" s="24" t="n">
        <f aca="false">E313-F313</f>
        <v>203468.919681624</v>
      </c>
      <c r="H313" s="24" t="n">
        <f aca="false">D313-G313</f>
        <v>24094755.6804089</v>
      </c>
    </row>
    <row r="314" customFormat="false" ht="15" hidden="false" customHeight="false" outlineLevel="0" collapsed="false">
      <c r="A314" s="22" t="n">
        <v>313</v>
      </c>
      <c r="B314" s="22" t="n">
        <f aca="false">INT((A314-1)/12)+1</f>
        <v>27</v>
      </c>
      <c r="C314" s="23" t="n">
        <f aca="false">IF(B314&gt;=入力!$B$14,入力!$B$15,IF(B314&gt;=入力!$B$12,入力!$B$13,入力!$B$11))</f>
        <v>0.02</v>
      </c>
      <c r="D314" s="24" t="n">
        <f aca="false">H313</f>
        <v>24094755.6804089</v>
      </c>
      <c r="E314" s="24" t="n">
        <f aca="false">-PMT(C314/12,420-A314+1,D314)</f>
        <v>243965.960681775</v>
      </c>
      <c r="F314" s="24" t="n">
        <f aca="false">D314*C314/12</f>
        <v>40157.9261340149</v>
      </c>
      <c r="G314" s="24" t="n">
        <f aca="false">E314-F314</f>
        <v>203808.03454776</v>
      </c>
      <c r="H314" s="24" t="n">
        <f aca="false">D314-G314</f>
        <v>23890947.6458612</v>
      </c>
    </row>
    <row r="315" customFormat="false" ht="15" hidden="false" customHeight="false" outlineLevel="0" collapsed="false">
      <c r="A315" s="22" t="n">
        <v>314</v>
      </c>
      <c r="B315" s="22" t="n">
        <f aca="false">INT((A315-1)/12)+1</f>
        <v>27</v>
      </c>
      <c r="C315" s="23" t="n">
        <f aca="false">IF(B315&gt;=入力!$B$14,入力!$B$15,IF(B315&gt;=入力!$B$12,入力!$B$13,入力!$B$11))</f>
        <v>0.02</v>
      </c>
      <c r="D315" s="24" t="n">
        <f aca="false">H314</f>
        <v>23890947.6458612</v>
      </c>
      <c r="E315" s="24" t="n">
        <f aca="false">-PMT(C315/12,420-A315+1,D315)</f>
        <v>243965.960681775</v>
      </c>
      <c r="F315" s="24" t="n">
        <f aca="false">D315*C315/12</f>
        <v>39818.2460764353</v>
      </c>
      <c r="G315" s="24" t="n">
        <f aca="false">E315-F315</f>
        <v>204147.714605339</v>
      </c>
      <c r="H315" s="24" t="n">
        <f aca="false">D315-G315</f>
        <v>23686799.9312558</v>
      </c>
    </row>
    <row r="316" customFormat="false" ht="15" hidden="false" customHeight="false" outlineLevel="0" collapsed="false">
      <c r="A316" s="22" t="n">
        <v>315</v>
      </c>
      <c r="B316" s="22" t="n">
        <f aca="false">INT((A316-1)/12)+1</f>
        <v>27</v>
      </c>
      <c r="C316" s="23" t="n">
        <f aca="false">IF(B316&gt;=入力!$B$14,入力!$B$15,IF(B316&gt;=入力!$B$12,入力!$B$13,入力!$B$11))</f>
        <v>0.02</v>
      </c>
      <c r="D316" s="24" t="n">
        <f aca="false">H315</f>
        <v>23686799.9312558</v>
      </c>
      <c r="E316" s="24" t="n">
        <f aca="false">-PMT(C316/12,420-A316+1,D316)</f>
        <v>243965.960681775</v>
      </c>
      <c r="F316" s="24" t="n">
        <f aca="false">D316*C316/12</f>
        <v>39477.9998854264</v>
      </c>
      <c r="G316" s="24" t="n">
        <f aca="false">E316-F316</f>
        <v>204487.960796348</v>
      </c>
      <c r="H316" s="24" t="n">
        <f aca="false">D316-G316</f>
        <v>23482311.9704595</v>
      </c>
    </row>
    <row r="317" customFormat="false" ht="15" hidden="false" customHeight="false" outlineLevel="0" collapsed="false">
      <c r="A317" s="22" t="n">
        <v>316</v>
      </c>
      <c r="B317" s="22" t="n">
        <f aca="false">INT((A317-1)/12)+1</f>
        <v>27</v>
      </c>
      <c r="C317" s="23" t="n">
        <f aca="false">IF(B317&gt;=入力!$B$14,入力!$B$15,IF(B317&gt;=入力!$B$12,入力!$B$13,入力!$B$11))</f>
        <v>0.02</v>
      </c>
      <c r="D317" s="24" t="n">
        <f aca="false">H316</f>
        <v>23482311.9704595</v>
      </c>
      <c r="E317" s="24" t="n">
        <f aca="false">-PMT(C317/12,420-A317+1,D317)</f>
        <v>243965.960681775</v>
      </c>
      <c r="F317" s="24" t="n">
        <f aca="false">D317*C317/12</f>
        <v>39137.1866174325</v>
      </c>
      <c r="G317" s="24" t="n">
        <f aca="false">E317-F317</f>
        <v>204828.774064342</v>
      </c>
      <c r="H317" s="24" t="n">
        <f aca="false">D317-G317</f>
        <v>23277483.1963951</v>
      </c>
    </row>
    <row r="318" customFormat="false" ht="15" hidden="false" customHeight="false" outlineLevel="0" collapsed="false">
      <c r="A318" s="22" t="n">
        <v>317</v>
      </c>
      <c r="B318" s="22" t="n">
        <f aca="false">INT((A318-1)/12)+1</f>
        <v>27</v>
      </c>
      <c r="C318" s="23" t="n">
        <f aca="false">IF(B318&gt;=入力!$B$14,入力!$B$15,IF(B318&gt;=入力!$B$12,入力!$B$13,入力!$B$11))</f>
        <v>0.02</v>
      </c>
      <c r="D318" s="24" t="n">
        <f aca="false">H317</f>
        <v>23277483.1963951</v>
      </c>
      <c r="E318" s="24" t="n">
        <f aca="false">-PMT(C318/12,420-A318+1,D318)</f>
        <v>243965.960681775</v>
      </c>
      <c r="F318" s="24" t="n">
        <f aca="false">D318*C318/12</f>
        <v>38795.8053273252</v>
      </c>
      <c r="G318" s="24" t="n">
        <f aca="false">E318-F318</f>
        <v>205170.155354449</v>
      </c>
      <c r="H318" s="24" t="n">
        <f aca="false">D318-G318</f>
        <v>23072313.0410407</v>
      </c>
    </row>
    <row r="319" customFormat="false" ht="15" hidden="false" customHeight="false" outlineLevel="0" collapsed="false">
      <c r="A319" s="22" t="n">
        <v>318</v>
      </c>
      <c r="B319" s="22" t="n">
        <f aca="false">INT((A319-1)/12)+1</f>
        <v>27</v>
      </c>
      <c r="C319" s="23" t="n">
        <f aca="false">IF(B319&gt;=入力!$B$14,入力!$B$15,IF(B319&gt;=入力!$B$12,入力!$B$13,入力!$B$11))</f>
        <v>0.02</v>
      </c>
      <c r="D319" s="24" t="n">
        <f aca="false">H318</f>
        <v>23072313.0410407</v>
      </c>
      <c r="E319" s="24" t="n">
        <f aca="false">-PMT(C319/12,420-A319+1,D319)</f>
        <v>243965.960681775</v>
      </c>
      <c r="F319" s="24" t="n">
        <f aca="false">D319*C319/12</f>
        <v>38453.8550684012</v>
      </c>
      <c r="G319" s="24" t="n">
        <f aca="false">E319-F319</f>
        <v>205512.105613373</v>
      </c>
      <c r="H319" s="24" t="n">
        <f aca="false">D319-G319</f>
        <v>22866800.9354273</v>
      </c>
    </row>
    <row r="320" customFormat="false" ht="15" hidden="false" customHeight="false" outlineLevel="0" collapsed="false">
      <c r="A320" s="22" t="n">
        <v>319</v>
      </c>
      <c r="B320" s="22" t="n">
        <f aca="false">INT((A320-1)/12)+1</f>
        <v>27</v>
      </c>
      <c r="C320" s="23" t="n">
        <f aca="false">IF(B320&gt;=入力!$B$14,入力!$B$15,IF(B320&gt;=入力!$B$12,入力!$B$13,入力!$B$11))</f>
        <v>0.02</v>
      </c>
      <c r="D320" s="24" t="n">
        <f aca="false">H319</f>
        <v>22866800.9354273</v>
      </c>
      <c r="E320" s="24" t="n">
        <f aca="false">-PMT(C320/12,420-A320+1,D320)</f>
        <v>243965.960681775</v>
      </c>
      <c r="F320" s="24" t="n">
        <f aca="false">D320*C320/12</f>
        <v>38111.3348923789</v>
      </c>
      <c r="G320" s="24" t="n">
        <f aca="false">E320-F320</f>
        <v>205854.625789396</v>
      </c>
      <c r="H320" s="24" t="n">
        <f aca="false">D320-G320</f>
        <v>22660946.3096379</v>
      </c>
    </row>
    <row r="321" customFormat="false" ht="15" hidden="false" customHeight="false" outlineLevel="0" collapsed="false">
      <c r="A321" s="22" t="n">
        <v>320</v>
      </c>
      <c r="B321" s="22" t="n">
        <f aca="false">INT((A321-1)/12)+1</f>
        <v>27</v>
      </c>
      <c r="C321" s="23" t="n">
        <f aca="false">IF(B321&gt;=入力!$B$14,入力!$B$15,IF(B321&gt;=入力!$B$12,入力!$B$13,入力!$B$11))</f>
        <v>0.02</v>
      </c>
      <c r="D321" s="24" t="n">
        <f aca="false">H320</f>
        <v>22660946.3096379</v>
      </c>
      <c r="E321" s="24" t="n">
        <f aca="false">-PMT(C321/12,420-A321+1,D321)</f>
        <v>243965.960681775</v>
      </c>
      <c r="F321" s="24" t="n">
        <f aca="false">D321*C321/12</f>
        <v>37768.2438493965</v>
      </c>
      <c r="G321" s="24" t="n">
        <f aca="false">E321-F321</f>
        <v>206197.716832378</v>
      </c>
      <c r="H321" s="24" t="n">
        <f aca="false">D321-G321</f>
        <v>22454748.5928056</v>
      </c>
    </row>
    <row r="322" customFormat="false" ht="15" hidden="false" customHeight="false" outlineLevel="0" collapsed="false">
      <c r="A322" s="22" t="n">
        <v>321</v>
      </c>
      <c r="B322" s="22" t="n">
        <f aca="false">INT((A322-1)/12)+1</f>
        <v>27</v>
      </c>
      <c r="C322" s="23" t="n">
        <f aca="false">IF(B322&gt;=入力!$B$14,入力!$B$15,IF(B322&gt;=入力!$B$12,入力!$B$13,入力!$B$11))</f>
        <v>0.02</v>
      </c>
      <c r="D322" s="24" t="n">
        <f aca="false">H321</f>
        <v>22454748.5928056</v>
      </c>
      <c r="E322" s="24" t="n">
        <f aca="false">-PMT(C322/12,420-A322+1,D322)</f>
        <v>243965.960681775</v>
      </c>
      <c r="F322" s="24" t="n">
        <f aca="false">D322*C322/12</f>
        <v>37424.5809880093</v>
      </c>
      <c r="G322" s="24" t="n">
        <f aca="false">E322-F322</f>
        <v>206541.379693765</v>
      </c>
      <c r="H322" s="24" t="n">
        <f aca="false">D322-G322</f>
        <v>22248207.2131118</v>
      </c>
    </row>
    <row r="323" customFormat="false" ht="15" hidden="false" customHeight="false" outlineLevel="0" collapsed="false">
      <c r="A323" s="22" t="n">
        <v>322</v>
      </c>
      <c r="B323" s="22" t="n">
        <f aca="false">INT((A323-1)/12)+1</f>
        <v>27</v>
      </c>
      <c r="C323" s="23" t="n">
        <f aca="false">IF(B323&gt;=入力!$B$14,入力!$B$15,IF(B323&gt;=入力!$B$12,入力!$B$13,入力!$B$11))</f>
        <v>0.02</v>
      </c>
      <c r="D323" s="24" t="n">
        <f aca="false">H322</f>
        <v>22248207.2131118</v>
      </c>
      <c r="E323" s="24" t="n">
        <f aca="false">-PMT(C323/12,420-A323+1,D323)</f>
        <v>243965.960681775</v>
      </c>
      <c r="F323" s="24" t="n">
        <f aca="false">D323*C323/12</f>
        <v>37080.3453551863</v>
      </c>
      <c r="G323" s="24" t="n">
        <f aca="false">E323-F323</f>
        <v>206885.615326588</v>
      </c>
      <c r="H323" s="24" t="n">
        <f aca="false">D323-G323</f>
        <v>22041321.5977852</v>
      </c>
    </row>
    <row r="324" customFormat="false" ht="15" hidden="false" customHeight="false" outlineLevel="0" collapsed="false">
      <c r="A324" s="22" t="n">
        <v>323</v>
      </c>
      <c r="B324" s="22" t="n">
        <f aca="false">INT((A324-1)/12)+1</f>
        <v>27</v>
      </c>
      <c r="C324" s="23" t="n">
        <f aca="false">IF(B324&gt;=入力!$B$14,入力!$B$15,IF(B324&gt;=入力!$B$12,入力!$B$13,入力!$B$11))</f>
        <v>0.02</v>
      </c>
      <c r="D324" s="24" t="n">
        <f aca="false">H323</f>
        <v>22041321.5977852</v>
      </c>
      <c r="E324" s="24" t="n">
        <f aca="false">-PMT(C324/12,420-A324+1,D324)</f>
        <v>243965.960681775</v>
      </c>
      <c r="F324" s="24" t="n">
        <f aca="false">D324*C324/12</f>
        <v>36735.5359963087</v>
      </c>
      <c r="G324" s="24" t="n">
        <f aca="false">E324-F324</f>
        <v>207230.424685466</v>
      </c>
      <c r="H324" s="24" t="n">
        <f aca="false">D324-G324</f>
        <v>21834091.1730997</v>
      </c>
    </row>
    <row r="325" customFormat="false" ht="15" hidden="false" customHeight="false" outlineLevel="0" collapsed="false">
      <c r="A325" s="22" t="n">
        <v>324</v>
      </c>
      <c r="B325" s="22" t="n">
        <f aca="false">INT((A325-1)/12)+1</f>
        <v>27</v>
      </c>
      <c r="C325" s="23" t="n">
        <f aca="false">IF(B325&gt;=入力!$B$14,入力!$B$15,IF(B325&gt;=入力!$B$12,入力!$B$13,入力!$B$11))</f>
        <v>0.02</v>
      </c>
      <c r="D325" s="24" t="n">
        <f aca="false">H324</f>
        <v>21834091.1730997</v>
      </c>
      <c r="E325" s="24" t="n">
        <f aca="false">-PMT(C325/12,420-A325+1,D325)</f>
        <v>243965.960681775</v>
      </c>
      <c r="F325" s="24" t="n">
        <f aca="false">D325*C325/12</f>
        <v>36390.1519551662</v>
      </c>
      <c r="G325" s="24" t="n">
        <f aca="false">E325-F325</f>
        <v>207575.808726608</v>
      </c>
      <c r="H325" s="24" t="n">
        <f aca="false">D325-G325</f>
        <v>21626515.3643731</v>
      </c>
    </row>
    <row r="326" customFormat="false" ht="15" hidden="false" customHeight="false" outlineLevel="0" collapsed="false">
      <c r="A326" s="22" t="n">
        <v>325</v>
      </c>
      <c r="B326" s="22" t="n">
        <f aca="false">INT((A326-1)/12)+1</f>
        <v>28</v>
      </c>
      <c r="C326" s="23" t="n">
        <f aca="false">IF(B326&gt;=入力!$B$14,入力!$B$15,IF(B326&gt;=入力!$B$12,入力!$B$13,入力!$B$11))</f>
        <v>0.02</v>
      </c>
      <c r="D326" s="24" t="n">
        <f aca="false">H325</f>
        <v>21626515.3643731</v>
      </c>
      <c r="E326" s="24" t="n">
        <f aca="false">-PMT(C326/12,420-A326+1,D326)</f>
        <v>243965.960681775</v>
      </c>
      <c r="F326" s="24" t="n">
        <f aca="false">D326*C326/12</f>
        <v>36044.1922739552</v>
      </c>
      <c r="G326" s="24" t="n">
        <f aca="false">E326-F326</f>
        <v>207921.768407819</v>
      </c>
      <c r="H326" s="24" t="n">
        <f aca="false">D326-G326</f>
        <v>21418593.5959653</v>
      </c>
    </row>
    <row r="327" customFormat="false" ht="15" hidden="false" customHeight="false" outlineLevel="0" collapsed="false">
      <c r="A327" s="22" t="n">
        <v>326</v>
      </c>
      <c r="B327" s="22" t="n">
        <f aca="false">INT((A327-1)/12)+1</f>
        <v>28</v>
      </c>
      <c r="C327" s="23" t="n">
        <f aca="false">IF(B327&gt;=入力!$B$14,入力!$B$15,IF(B327&gt;=入力!$B$12,入力!$B$13,入力!$B$11))</f>
        <v>0.02</v>
      </c>
      <c r="D327" s="24" t="n">
        <f aca="false">H326</f>
        <v>21418593.5959653</v>
      </c>
      <c r="E327" s="24" t="n">
        <f aca="false">-PMT(C327/12,420-A327+1,D327)</f>
        <v>243965.960681775</v>
      </c>
      <c r="F327" s="24" t="n">
        <f aca="false">D327*C327/12</f>
        <v>35697.6559932755</v>
      </c>
      <c r="G327" s="24" t="n">
        <f aca="false">E327-F327</f>
        <v>208268.304688499</v>
      </c>
      <c r="H327" s="24" t="n">
        <f aca="false">D327-G327</f>
        <v>21210325.2912768</v>
      </c>
    </row>
    <row r="328" customFormat="false" ht="15" hidden="false" customHeight="false" outlineLevel="0" collapsed="false">
      <c r="A328" s="22" t="n">
        <v>327</v>
      </c>
      <c r="B328" s="22" t="n">
        <f aca="false">INT((A328-1)/12)+1</f>
        <v>28</v>
      </c>
      <c r="C328" s="23" t="n">
        <f aca="false">IF(B328&gt;=入力!$B$14,入力!$B$15,IF(B328&gt;=入力!$B$12,入力!$B$13,入力!$B$11))</f>
        <v>0.02</v>
      </c>
      <c r="D328" s="24" t="n">
        <f aca="false">H327</f>
        <v>21210325.2912768</v>
      </c>
      <c r="E328" s="24" t="n">
        <f aca="false">-PMT(C328/12,420-A328+1,D328)</f>
        <v>243965.960681775</v>
      </c>
      <c r="F328" s="24" t="n">
        <f aca="false">D328*C328/12</f>
        <v>35350.542152128</v>
      </c>
      <c r="G328" s="24" t="n">
        <f aca="false">E328-F328</f>
        <v>208615.418529647</v>
      </c>
      <c r="H328" s="24" t="n">
        <f aca="false">D328-G328</f>
        <v>21001709.8727472</v>
      </c>
    </row>
    <row r="329" customFormat="false" ht="15" hidden="false" customHeight="false" outlineLevel="0" collapsed="false">
      <c r="A329" s="22" t="n">
        <v>328</v>
      </c>
      <c r="B329" s="22" t="n">
        <f aca="false">INT((A329-1)/12)+1</f>
        <v>28</v>
      </c>
      <c r="C329" s="23" t="n">
        <f aca="false">IF(B329&gt;=入力!$B$14,入力!$B$15,IF(B329&gt;=入力!$B$12,入力!$B$13,入力!$B$11))</f>
        <v>0.02</v>
      </c>
      <c r="D329" s="24" t="n">
        <f aca="false">H328</f>
        <v>21001709.8727472</v>
      </c>
      <c r="E329" s="24" t="n">
        <f aca="false">-PMT(C329/12,420-A329+1,D329)</f>
        <v>243965.960681775</v>
      </c>
      <c r="F329" s="24" t="n">
        <f aca="false">D329*C329/12</f>
        <v>35002.8497879119</v>
      </c>
      <c r="G329" s="24" t="n">
        <f aca="false">E329-F329</f>
        <v>208963.110893863</v>
      </c>
      <c r="H329" s="24" t="n">
        <f aca="false">D329-G329</f>
        <v>20792746.7618533</v>
      </c>
    </row>
    <row r="330" customFormat="false" ht="15" hidden="false" customHeight="false" outlineLevel="0" collapsed="false">
      <c r="A330" s="22" t="n">
        <v>329</v>
      </c>
      <c r="B330" s="22" t="n">
        <f aca="false">INT((A330-1)/12)+1</f>
        <v>28</v>
      </c>
      <c r="C330" s="23" t="n">
        <f aca="false">IF(B330&gt;=入力!$B$14,入力!$B$15,IF(B330&gt;=入力!$B$12,入力!$B$13,入力!$B$11))</f>
        <v>0.02</v>
      </c>
      <c r="D330" s="24" t="n">
        <f aca="false">H329</f>
        <v>20792746.7618533</v>
      </c>
      <c r="E330" s="24" t="n">
        <f aca="false">-PMT(C330/12,420-A330+1,D330)</f>
        <v>243965.960681775</v>
      </c>
      <c r="F330" s="24" t="n">
        <f aca="false">D330*C330/12</f>
        <v>34654.5779364222</v>
      </c>
      <c r="G330" s="24" t="n">
        <f aca="false">E330-F330</f>
        <v>209311.382745352</v>
      </c>
      <c r="H330" s="24" t="n">
        <f aca="false">D330-G330</f>
        <v>20583435.3791079</v>
      </c>
    </row>
    <row r="331" customFormat="false" ht="15" hidden="false" customHeight="false" outlineLevel="0" collapsed="false">
      <c r="A331" s="22" t="n">
        <v>330</v>
      </c>
      <c r="B331" s="22" t="n">
        <f aca="false">INT((A331-1)/12)+1</f>
        <v>28</v>
      </c>
      <c r="C331" s="23" t="n">
        <f aca="false">IF(B331&gt;=入力!$B$14,入力!$B$15,IF(B331&gt;=入力!$B$12,入力!$B$13,入力!$B$11))</f>
        <v>0.02</v>
      </c>
      <c r="D331" s="24" t="n">
        <f aca="false">H330</f>
        <v>20583435.3791079</v>
      </c>
      <c r="E331" s="24" t="n">
        <f aca="false">-PMT(C331/12,420-A331+1,D331)</f>
        <v>243965.960681775</v>
      </c>
      <c r="F331" s="24" t="n">
        <f aca="false">D331*C331/12</f>
        <v>34305.7256318466</v>
      </c>
      <c r="G331" s="24" t="n">
        <f aca="false">E331-F331</f>
        <v>209660.235049928</v>
      </c>
      <c r="H331" s="24" t="n">
        <f aca="false">D331-G331</f>
        <v>20373775.144058</v>
      </c>
    </row>
    <row r="332" customFormat="false" ht="15" hidden="false" customHeight="false" outlineLevel="0" collapsed="false">
      <c r="A332" s="22" t="n">
        <v>331</v>
      </c>
      <c r="B332" s="22" t="n">
        <f aca="false">INT((A332-1)/12)+1</f>
        <v>28</v>
      </c>
      <c r="C332" s="23" t="n">
        <f aca="false">IF(B332&gt;=入力!$B$14,入力!$B$15,IF(B332&gt;=入力!$B$12,入力!$B$13,入力!$B$11))</f>
        <v>0.02</v>
      </c>
      <c r="D332" s="24" t="n">
        <f aca="false">H331</f>
        <v>20373775.144058</v>
      </c>
      <c r="E332" s="24" t="n">
        <f aca="false">-PMT(C332/12,420-A332+1,D332)</f>
        <v>243965.960681775</v>
      </c>
      <c r="F332" s="24" t="n">
        <f aca="false">D332*C332/12</f>
        <v>33956.2919067634</v>
      </c>
      <c r="G332" s="24" t="n">
        <f aca="false">E332-F332</f>
        <v>210009.668775011</v>
      </c>
      <c r="H332" s="24" t="n">
        <f aca="false">D332-G332</f>
        <v>20163765.475283</v>
      </c>
    </row>
    <row r="333" customFormat="false" ht="15" hidden="false" customHeight="false" outlineLevel="0" collapsed="false">
      <c r="A333" s="22" t="n">
        <v>332</v>
      </c>
      <c r="B333" s="22" t="n">
        <f aca="false">INT((A333-1)/12)+1</f>
        <v>28</v>
      </c>
      <c r="C333" s="23" t="n">
        <f aca="false">IF(B333&gt;=入力!$B$14,入力!$B$15,IF(B333&gt;=入力!$B$12,入力!$B$13,入力!$B$11))</f>
        <v>0.02</v>
      </c>
      <c r="D333" s="24" t="n">
        <f aca="false">H332</f>
        <v>20163765.475283</v>
      </c>
      <c r="E333" s="24" t="n">
        <f aca="false">-PMT(C333/12,420-A333+1,D333)</f>
        <v>243965.960681775</v>
      </c>
      <c r="F333" s="24" t="n">
        <f aca="false">D333*C333/12</f>
        <v>33606.2757921383</v>
      </c>
      <c r="G333" s="24" t="n">
        <f aca="false">E333-F333</f>
        <v>210359.684889636</v>
      </c>
      <c r="H333" s="24" t="n">
        <f aca="false">D333-G333</f>
        <v>19953405.7903934</v>
      </c>
    </row>
    <row r="334" customFormat="false" ht="15" hidden="false" customHeight="false" outlineLevel="0" collapsed="false">
      <c r="A334" s="22" t="n">
        <v>333</v>
      </c>
      <c r="B334" s="22" t="n">
        <f aca="false">INT((A334-1)/12)+1</f>
        <v>28</v>
      </c>
      <c r="C334" s="23" t="n">
        <f aca="false">IF(B334&gt;=入力!$B$14,入力!$B$15,IF(B334&gt;=入力!$B$12,入力!$B$13,入力!$B$11))</f>
        <v>0.02</v>
      </c>
      <c r="D334" s="24" t="n">
        <f aca="false">H333</f>
        <v>19953405.7903934</v>
      </c>
      <c r="E334" s="24" t="n">
        <f aca="false">-PMT(C334/12,420-A334+1,D334)</f>
        <v>243965.960681775</v>
      </c>
      <c r="F334" s="24" t="n">
        <f aca="false">D334*C334/12</f>
        <v>33255.6763173223</v>
      </c>
      <c r="G334" s="24" t="n">
        <f aca="false">E334-F334</f>
        <v>210710.284364452</v>
      </c>
      <c r="H334" s="24" t="n">
        <f aca="false">D334-G334</f>
        <v>19742695.5060289</v>
      </c>
    </row>
    <row r="335" customFormat="false" ht="15" hidden="false" customHeight="false" outlineLevel="0" collapsed="false">
      <c r="A335" s="22" t="n">
        <v>334</v>
      </c>
      <c r="B335" s="22" t="n">
        <f aca="false">INT((A335-1)/12)+1</f>
        <v>28</v>
      </c>
      <c r="C335" s="23" t="n">
        <f aca="false">IF(B335&gt;=入力!$B$14,入力!$B$15,IF(B335&gt;=入力!$B$12,入力!$B$13,入力!$B$11))</f>
        <v>0.02</v>
      </c>
      <c r="D335" s="24" t="n">
        <f aca="false">H334</f>
        <v>19742695.5060289</v>
      </c>
      <c r="E335" s="24" t="n">
        <f aca="false">-PMT(C335/12,420-A335+1,D335)</f>
        <v>243965.960681775</v>
      </c>
      <c r="F335" s="24" t="n">
        <f aca="false">D335*C335/12</f>
        <v>32904.4925100482</v>
      </c>
      <c r="G335" s="24" t="n">
        <f aca="false">E335-F335</f>
        <v>211061.468171727</v>
      </c>
      <c r="H335" s="24" t="n">
        <f aca="false">D335-G335</f>
        <v>19531634.0378572</v>
      </c>
    </row>
    <row r="336" customFormat="false" ht="15" hidden="false" customHeight="false" outlineLevel="0" collapsed="false">
      <c r="A336" s="22" t="n">
        <v>335</v>
      </c>
      <c r="B336" s="22" t="n">
        <f aca="false">INT((A336-1)/12)+1</f>
        <v>28</v>
      </c>
      <c r="C336" s="23" t="n">
        <f aca="false">IF(B336&gt;=入力!$B$14,入力!$B$15,IF(B336&gt;=入力!$B$12,入力!$B$13,入力!$B$11))</f>
        <v>0.02</v>
      </c>
      <c r="D336" s="24" t="n">
        <f aca="false">H335</f>
        <v>19531634.0378572</v>
      </c>
      <c r="E336" s="24" t="n">
        <f aca="false">-PMT(C336/12,420-A336+1,D336)</f>
        <v>243965.960681775</v>
      </c>
      <c r="F336" s="24" t="n">
        <f aca="false">D336*C336/12</f>
        <v>32552.7233964286</v>
      </c>
      <c r="G336" s="24" t="n">
        <f aca="false">E336-F336</f>
        <v>211413.237285346</v>
      </c>
      <c r="H336" s="24" t="n">
        <f aca="false">D336-G336</f>
        <v>19320220.8005718</v>
      </c>
    </row>
    <row r="337" customFormat="false" ht="15" hidden="false" customHeight="false" outlineLevel="0" collapsed="false">
      <c r="A337" s="22" t="n">
        <v>336</v>
      </c>
      <c r="B337" s="22" t="n">
        <f aca="false">INT((A337-1)/12)+1</f>
        <v>28</v>
      </c>
      <c r="C337" s="23" t="n">
        <f aca="false">IF(B337&gt;=入力!$B$14,入力!$B$15,IF(B337&gt;=入力!$B$12,入力!$B$13,入力!$B$11))</f>
        <v>0.02</v>
      </c>
      <c r="D337" s="24" t="n">
        <f aca="false">H336</f>
        <v>19320220.8005718</v>
      </c>
      <c r="E337" s="24" t="n">
        <f aca="false">-PMT(C337/12,420-A337+1,D337)</f>
        <v>243965.960681775</v>
      </c>
      <c r="F337" s="24" t="n">
        <f aca="false">D337*C337/12</f>
        <v>32200.3680009531</v>
      </c>
      <c r="G337" s="24" t="n">
        <f aca="false">E337-F337</f>
        <v>211765.592680822</v>
      </c>
      <c r="H337" s="24" t="n">
        <f aca="false">D337-G337</f>
        <v>19108455.207891</v>
      </c>
    </row>
    <row r="338" customFormat="false" ht="15" hidden="false" customHeight="false" outlineLevel="0" collapsed="false">
      <c r="A338" s="22" t="n">
        <v>337</v>
      </c>
      <c r="B338" s="22" t="n">
        <f aca="false">INT((A338-1)/12)+1</f>
        <v>29</v>
      </c>
      <c r="C338" s="23" t="n">
        <f aca="false">IF(B338&gt;=入力!$B$14,入力!$B$15,IF(B338&gt;=入力!$B$12,入力!$B$13,入力!$B$11))</f>
        <v>0.02</v>
      </c>
      <c r="D338" s="24" t="n">
        <f aca="false">H337</f>
        <v>19108455.207891</v>
      </c>
      <c r="E338" s="24" t="n">
        <f aca="false">-PMT(C338/12,420-A338+1,D338)</f>
        <v>243965.960681775</v>
      </c>
      <c r="F338" s="24" t="n">
        <f aca="false">D338*C338/12</f>
        <v>31847.425346485</v>
      </c>
      <c r="G338" s="24" t="n">
        <f aca="false">E338-F338</f>
        <v>212118.53533529</v>
      </c>
      <c r="H338" s="24" t="n">
        <f aca="false">D338-G338</f>
        <v>18896336.6725557</v>
      </c>
    </row>
    <row r="339" customFormat="false" ht="15" hidden="false" customHeight="false" outlineLevel="0" collapsed="false">
      <c r="A339" s="22" t="n">
        <v>338</v>
      </c>
      <c r="B339" s="22" t="n">
        <f aca="false">INT((A339-1)/12)+1</f>
        <v>29</v>
      </c>
      <c r="C339" s="23" t="n">
        <f aca="false">IF(B339&gt;=入力!$B$14,入力!$B$15,IF(B339&gt;=入力!$B$12,入力!$B$13,入力!$B$11))</f>
        <v>0.02</v>
      </c>
      <c r="D339" s="24" t="n">
        <f aca="false">H338</f>
        <v>18896336.6725557</v>
      </c>
      <c r="E339" s="24" t="n">
        <f aca="false">-PMT(C339/12,420-A339+1,D339)</f>
        <v>243965.960681775</v>
      </c>
      <c r="F339" s="24" t="n">
        <f aca="false">D339*C339/12</f>
        <v>31493.8944542595</v>
      </c>
      <c r="G339" s="24" t="n">
        <f aca="false">E339-F339</f>
        <v>212472.066227515</v>
      </c>
      <c r="H339" s="24" t="n">
        <f aca="false">D339-G339</f>
        <v>18683864.6063282</v>
      </c>
    </row>
    <row r="340" customFormat="false" ht="15" hidden="false" customHeight="false" outlineLevel="0" collapsed="false">
      <c r="A340" s="22" t="n">
        <v>339</v>
      </c>
      <c r="B340" s="22" t="n">
        <f aca="false">INT((A340-1)/12)+1</f>
        <v>29</v>
      </c>
      <c r="C340" s="23" t="n">
        <f aca="false">IF(B340&gt;=入力!$B$14,入力!$B$15,IF(B340&gt;=入力!$B$12,入力!$B$13,入力!$B$11))</f>
        <v>0.02</v>
      </c>
      <c r="D340" s="24" t="n">
        <f aca="false">H339</f>
        <v>18683864.6063282</v>
      </c>
      <c r="E340" s="24" t="n">
        <f aca="false">-PMT(C340/12,420-A340+1,D340)</f>
        <v>243965.960681775</v>
      </c>
      <c r="F340" s="24" t="n">
        <f aca="false">D340*C340/12</f>
        <v>31139.7743438804</v>
      </c>
      <c r="G340" s="24" t="n">
        <f aca="false">E340-F340</f>
        <v>212826.186337894</v>
      </c>
      <c r="H340" s="24" t="n">
        <f aca="false">D340-G340</f>
        <v>18471038.4199903</v>
      </c>
    </row>
    <row r="341" customFormat="false" ht="15" hidden="false" customHeight="false" outlineLevel="0" collapsed="false">
      <c r="A341" s="22" t="n">
        <v>340</v>
      </c>
      <c r="B341" s="22" t="n">
        <f aca="false">INT((A341-1)/12)+1</f>
        <v>29</v>
      </c>
      <c r="C341" s="23" t="n">
        <f aca="false">IF(B341&gt;=入力!$B$14,入力!$B$15,IF(B341&gt;=入力!$B$12,入力!$B$13,入力!$B$11))</f>
        <v>0.02</v>
      </c>
      <c r="D341" s="24" t="n">
        <f aca="false">H340</f>
        <v>18471038.4199903</v>
      </c>
      <c r="E341" s="24" t="n">
        <f aca="false">-PMT(C341/12,420-A341+1,D341)</f>
        <v>243965.960681775</v>
      </c>
      <c r="F341" s="24" t="n">
        <f aca="false">D341*C341/12</f>
        <v>30785.0640333172</v>
      </c>
      <c r="G341" s="24" t="n">
        <f aca="false">E341-F341</f>
        <v>213180.896648457</v>
      </c>
      <c r="H341" s="24" t="n">
        <f aca="false">D341-G341</f>
        <v>18257857.5233419</v>
      </c>
    </row>
    <row r="342" customFormat="false" ht="15" hidden="false" customHeight="false" outlineLevel="0" collapsed="false">
      <c r="A342" s="22" t="n">
        <v>341</v>
      </c>
      <c r="B342" s="22" t="n">
        <f aca="false">INT((A342-1)/12)+1</f>
        <v>29</v>
      </c>
      <c r="C342" s="23" t="n">
        <f aca="false">IF(B342&gt;=入力!$B$14,入力!$B$15,IF(B342&gt;=入力!$B$12,入力!$B$13,入力!$B$11))</f>
        <v>0.02</v>
      </c>
      <c r="D342" s="24" t="n">
        <f aca="false">H341</f>
        <v>18257857.5233419</v>
      </c>
      <c r="E342" s="24" t="n">
        <f aca="false">-PMT(C342/12,420-A342+1,D342)</f>
        <v>243965.960681775</v>
      </c>
      <c r="F342" s="24" t="n">
        <f aca="false">D342*C342/12</f>
        <v>30429.7625389031</v>
      </c>
      <c r="G342" s="24" t="n">
        <f aca="false">E342-F342</f>
        <v>213536.198142871</v>
      </c>
      <c r="H342" s="24" t="n">
        <f aca="false">D342-G342</f>
        <v>18044321.325199</v>
      </c>
    </row>
    <row r="343" customFormat="false" ht="15" hidden="false" customHeight="false" outlineLevel="0" collapsed="false">
      <c r="A343" s="22" t="n">
        <v>342</v>
      </c>
      <c r="B343" s="22" t="n">
        <f aca="false">INT((A343-1)/12)+1</f>
        <v>29</v>
      </c>
      <c r="C343" s="23" t="n">
        <f aca="false">IF(B343&gt;=入力!$B$14,入力!$B$15,IF(B343&gt;=入力!$B$12,入力!$B$13,入力!$B$11))</f>
        <v>0.02</v>
      </c>
      <c r="D343" s="24" t="n">
        <f aca="false">H342</f>
        <v>18044321.325199</v>
      </c>
      <c r="E343" s="24" t="n">
        <f aca="false">-PMT(C343/12,420-A343+1,D343)</f>
        <v>243965.960681775</v>
      </c>
      <c r="F343" s="24" t="n">
        <f aca="false">D343*C343/12</f>
        <v>30073.8688753316</v>
      </c>
      <c r="G343" s="24" t="n">
        <f aca="false">E343-F343</f>
        <v>213892.091806443</v>
      </c>
      <c r="H343" s="24" t="n">
        <f aca="false">D343-G343</f>
        <v>17830429.2333925</v>
      </c>
    </row>
    <row r="344" customFormat="false" ht="15" hidden="false" customHeight="false" outlineLevel="0" collapsed="false">
      <c r="A344" s="22" t="n">
        <v>343</v>
      </c>
      <c r="B344" s="22" t="n">
        <f aca="false">INT((A344-1)/12)+1</f>
        <v>29</v>
      </c>
      <c r="C344" s="23" t="n">
        <f aca="false">IF(B344&gt;=入力!$B$14,入力!$B$15,IF(B344&gt;=入力!$B$12,入力!$B$13,入力!$B$11))</f>
        <v>0.02</v>
      </c>
      <c r="D344" s="24" t="n">
        <f aca="false">H343</f>
        <v>17830429.2333925</v>
      </c>
      <c r="E344" s="24" t="n">
        <f aca="false">-PMT(C344/12,420-A344+1,D344)</f>
        <v>243965.960681775</v>
      </c>
      <c r="F344" s="24" t="n">
        <f aca="false">D344*C344/12</f>
        <v>29717.3820556542</v>
      </c>
      <c r="G344" s="24" t="n">
        <f aca="false">E344-F344</f>
        <v>214248.57862612</v>
      </c>
      <c r="H344" s="24" t="n">
        <f aca="false">D344-G344</f>
        <v>17616180.6547664</v>
      </c>
    </row>
    <row r="345" customFormat="false" ht="15" hidden="false" customHeight="false" outlineLevel="0" collapsed="false">
      <c r="A345" s="22" t="n">
        <v>344</v>
      </c>
      <c r="B345" s="22" t="n">
        <f aca="false">INT((A345-1)/12)+1</f>
        <v>29</v>
      </c>
      <c r="C345" s="23" t="n">
        <f aca="false">IF(B345&gt;=入力!$B$14,入力!$B$15,IF(B345&gt;=入力!$B$12,入力!$B$13,入力!$B$11))</f>
        <v>0.02</v>
      </c>
      <c r="D345" s="24" t="n">
        <f aca="false">H344</f>
        <v>17616180.6547664</v>
      </c>
      <c r="E345" s="24" t="n">
        <f aca="false">-PMT(C345/12,420-A345+1,D345)</f>
        <v>243965.960681775</v>
      </c>
      <c r="F345" s="24" t="n">
        <f aca="false">D345*C345/12</f>
        <v>29360.3010912774</v>
      </c>
      <c r="G345" s="24" t="n">
        <f aca="false">E345-F345</f>
        <v>214605.659590497</v>
      </c>
      <c r="H345" s="24" t="n">
        <f aca="false">D345-G345</f>
        <v>17401574.9951759</v>
      </c>
    </row>
    <row r="346" customFormat="false" ht="15" hidden="false" customHeight="false" outlineLevel="0" collapsed="false">
      <c r="A346" s="22" t="n">
        <v>345</v>
      </c>
      <c r="B346" s="22" t="n">
        <f aca="false">INT((A346-1)/12)+1</f>
        <v>29</v>
      </c>
      <c r="C346" s="23" t="n">
        <f aca="false">IF(B346&gt;=入力!$B$14,入力!$B$15,IF(B346&gt;=入力!$B$12,入力!$B$13,入力!$B$11))</f>
        <v>0.02</v>
      </c>
      <c r="D346" s="24" t="n">
        <f aca="false">H345</f>
        <v>17401574.9951759</v>
      </c>
      <c r="E346" s="24" t="n">
        <f aca="false">-PMT(C346/12,420-A346+1,D346)</f>
        <v>243965.960681775</v>
      </c>
      <c r="F346" s="24" t="n">
        <f aca="false">D346*C346/12</f>
        <v>29002.6249919599</v>
      </c>
      <c r="G346" s="24" t="n">
        <f aca="false">E346-F346</f>
        <v>214963.335689815</v>
      </c>
      <c r="H346" s="24" t="n">
        <f aca="false">D346-G346</f>
        <v>17186611.6594861</v>
      </c>
    </row>
    <row r="347" customFormat="false" ht="15" hidden="false" customHeight="false" outlineLevel="0" collapsed="false">
      <c r="A347" s="22" t="n">
        <v>346</v>
      </c>
      <c r="B347" s="22" t="n">
        <f aca="false">INT((A347-1)/12)+1</f>
        <v>29</v>
      </c>
      <c r="C347" s="23" t="n">
        <f aca="false">IF(B347&gt;=入力!$B$14,入力!$B$15,IF(B347&gt;=入力!$B$12,入力!$B$13,入力!$B$11))</f>
        <v>0.02</v>
      </c>
      <c r="D347" s="24" t="n">
        <f aca="false">H346</f>
        <v>17186611.6594861</v>
      </c>
      <c r="E347" s="24" t="n">
        <f aca="false">-PMT(C347/12,420-A347+1,D347)</f>
        <v>243965.960681775</v>
      </c>
      <c r="F347" s="24" t="n">
        <f aca="false">D347*C347/12</f>
        <v>28644.3527658102</v>
      </c>
      <c r="G347" s="24" t="n">
        <f aca="false">E347-F347</f>
        <v>215321.607915964</v>
      </c>
      <c r="H347" s="24" t="n">
        <f aca="false">D347-G347</f>
        <v>16971290.0515702</v>
      </c>
    </row>
    <row r="348" customFormat="false" ht="15" hidden="false" customHeight="false" outlineLevel="0" collapsed="false">
      <c r="A348" s="22" t="n">
        <v>347</v>
      </c>
      <c r="B348" s="22" t="n">
        <f aca="false">INT((A348-1)/12)+1</f>
        <v>29</v>
      </c>
      <c r="C348" s="23" t="n">
        <f aca="false">IF(B348&gt;=入力!$B$14,入力!$B$15,IF(B348&gt;=入力!$B$12,入力!$B$13,入力!$B$11))</f>
        <v>0.02</v>
      </c>
      <c r="D348" s="24" t="n">
        <f aca="false">H347</f>
        <v>16971290.0515702</v>
      </c>
      <c r="E348" s="24" t="n">
        <f aca="false">-PMT(C348/12,420-A348+1,D348)</f>
        <v>243965.960681775</v>
      </c>
      <c r="F348" s="24" t="n">
        <f aca="false">D348*C348/12</f>
        <v>28285.4834192836</v>
      </c>
      <c r="G348" s="24" t="n">
        <f aca="false">E348-F348</f>
        <v>215680.477262491</v>
      </c>
      <c r="H348" s="24" t="n">
        <f aca="false">D348-G348</f>
        <v>16755609.5743077</v>
      </c>
    </row>
    <row r="349" customFormat="false" ht="15" hidden="false" customHeight="false" outlineLevel="0" collapsed="false">
      <c r="A349" s="22" t="n">
        <v>348</v>
      </c>
      <c r="B349" s="22" t="n">
        <f aca="false">INT((A349-1)/12)+1</f>
        <v>29</v>
      </c>
      <c r="C349" s="23" t="n">
        <f aca="false">IF(B349&gt;=入力!$B$14,入力!$B$15,IF(B349&gt;=入力!$B$12,入力!$B$13,入力!$B$11))</f>
        <v>0.02</v>
      </c>
      <c r="D349" s="24" t="n">
        <f aca="false">H348</f>
        <v>16755609.5743077</v>
      </c>
      <c r="E349" s="24" t="n">
        <f aca="false">-PMT(C349/12,420-A349+1,D349)</f>
        <v>243965.960681775</v>
      </c>
      <c r="F349" s="24" t="n">
        <f aca="false">D349*C349/12</f>
        <v>27926.0159571794</v>
      </c>
      <c r="G349" s="24" t="n">
        <f aca="false">E349-F349</f>
        <v>216039.944724595</v>
      </c>
      <c r="H349" s="24" t="n">
        <f aca="false">D349-G349</f>
        <v>16539569.6295831</v>
      </c>
    </row>
    <row r="350" customFormat="false" ht="15" hidden="false" customHeight="false" outlineLevel="0" collapsed="false">
      <c r="A350" s="22" t="n">
        <v>349</v>
      </c>
      <c r="B350" s="22" t="n">
        <f aca="false">INT((A350-1)/12)+1</f>
        <v>30</v>
      </c>
      <c r="C350" s="23" t="n">
        <f aca="false">IF(B350&gt;=入力!$B$14,入力!$B$15,IF(B350&gt;=入力!$B$12,入力!$B$13,入力!$B$11))</f>
        <v>0.02</v>
      </c>
      <c r="D350" s="24" t="n">
        <f aca="false">H349</f>
        <v>16539569.6295831</v>
      </c>
      <c r="E350" s="24" t="n">
        <f aca="false">-PMT(C350/12,420-A350+1,D350)</f>
        <v>243965.960681775</v>
      </c>
      <c r="F350" s="24" t="n">
        <f aca="false">D350*C350/12</f>
        <v>27565.9493826384</v>
      </c>
      <c r="G350" s="24" t="n">
        <f aca="false">E350-F350</f>
        <v>216400.011299136</v>
      </c>
      <c r="H350" s="24" t="n">
        <f aca="false">D350-G350</f>
        <v>16323169.6182839</v>
      </c>
    </row>
    <row r="351" customFormat="false" ht="15" hidden="false" customHeight="false" outlineLevel="0" collapsed="false">
      <c r="A351" s="22" t="n">
        <v>350</v>
      </c>
      <c r="B351" s="22" t="n">
        <f aca="false">INT((A351-1)/12)+1</f>
        <v>30</v>
      </c>
      <c r="C351" s="23" t="n">
        <f aca="false">IF(B351&gt;=入力!$B$14,入力!$B$15,IF(B351&gt;=入力!$B$12,入力!$B$13,入力!$B$11))</f>
        <v>0.02</v>
      </c>
      <c r="D351" s="24" t="n">
        <f aca="false">H350</f>
        <v>16323169.6182839</v>
      </c>
      <c r="E351" s="24" t="n">
        <f aca="false">-PMT(C351/12,420-A351+1,D351)</f>
        <v>243965.960681775</v>
      </c>
      <c r="F351" s="24" t="n">
        <f aca="false">D351*C351/12</f>
        <v>27205.2826971399</v>
      </c>
      <c r="G351" s="24" t="n">
        <f aca="false">E351-F351</f>
        <v>216760.677984635</v>
      </c>
      <c r="H351" s="24" t="n">
        <f aca="false">D351-G351</f>
        <v>16106408.9402993</v>
      </c>
    </row>
    <row r="352" customFormat="false" ht="15" hidden="false" customHeight="false" outlineLevel="0" collapsed="false">
      <c r="A352" s="22" t="n">
        <v>351</v>
      </c>
      <c r="B352" s="22" t="n">
        <f aca="false">INT((A352-1)/12)+1</f>
        <v>30</v>
      </c>
      <c r="C352" s="23" t="n">
        <f aca="false">IF(B352&gt;=入力!$B$14,入力!$B$15,IF(B352&gt;=入力!$B$12,入力!$B$13,入力!$B$11))</f>
        <v>0.02</v>
      </c>
      <c r="D352" s="24" t="n">
        <f aca="false">H351</f>
        <v>16106408.9402993</v>
      </c>
      <c r="E352" s="24" t="n">
        <f aca="false">-PMT(C352/12,420-A352+1,D352)</f>
        <v>243965.960681775</v>
      </c>
      <c r="F352" s="24" t="n">
        <f aca="false">D352*C352/12</f>
        <v>26844.0149004988</v>
      </c>
      <c r="G352" s="24" t="n">
        <f aca="false">E352-F352</f>
        <v>217121.945781276</v>
      </c>
      <c r="H352" s="24" t="n">
        <f aca="false">D352-G352</f>
        <v>15889286.994518</v>
      </c>
    </row>
    <row r="353" customFormat="false" ht="15" hidden="false" customHeight="false" outlineLevel="0" collapsed="false">
      <c r="A353" s="22" t="n">
        <v>352</v>
      </c>
      <c r="B353" s="22" t="n">
        <f aca="false">INT((A353-1)/12)+1</f>
        <v>30</v>
      </c>
      <c r="C353" s="23" t="n">
        <f aca="false">IF(B353&gt;=入力!$B$14,入力!$B$15,IF(B353&gt;=入力!$B$12,入力!$B$13,入力!$B$11))</f>
        <v>0.02</v>
      </c>
      <c r="D353" s="24" t="n">
        <f aca="false">H352</f>
        <v>15889286.994518</v>
      </c>
      <c r="E353" s="24" t="n">
        <f aca="false">-PMT(C353/12,420-A353+1,D353)</f>
        <v>243965.960681775</v>
      </c>
      <c r="F353" s="24" t="n">
        <f aca="false">D353*C353/12</f>
        <v>26482.1449908634</v>
      </c>
      <c r="G353" s="24" t="n">
        <f aca="false">E353-F353</f>
        <v>217483.815690911</v>
      </c>
      <c r="H353" s="24" t="n">
        <f aca="false">D353-G353</f>
        <v>15671803.1788271</v>
      </c>
    </row>
    <row r="354" customFormat="false" ht="15" hidden="false" customHeight="false" outlineLevel="0" collapsed="false">
      <c r="A354" s="22" t="n">
        <v>353</v>
      </c>
      <c r="B354" s="22" t="n">
        <f aca="false">INT((A354-1)/12)+1</f>
        <v>30</v>
      </c>
      <c r="C354" s="23" t="n">
        <f aca="false">IF(B354&gt;=入力!$B$14,入力!$B$15,IF(B354&gt;=入力!$B$12,入力!$B$13,入力!$B$11))</f>
        <v>0.02</v>
      </c>
      <c r="D354" s="24" t="n">
        <f aca="false">H353</f>
        <v>15671803.1788271</v>
      </c>
      <c r="E354" s="24" t="n">
        <f aca="false">-PMT(C354/12,420-A354+1,D354)</f>
        <v>243965.960681775</v>
      </c>
      <c r="F354" s="24" t="n">
        <f aca="false">D354*C354/12</f>
        <v>26119.6719647118</v>
      </c>
      <c r="G354" s="24" t="n">
        <f aca="false">E354-F354</f>
        <v>217846.288717063</v>
      </c>
      <c r="H354" s="24" t="n">
        <f aca="false">D354-G354</f>
        <v>15453956.89011</v>
      </c>
    </row>
    <row r="355" customFormat="false" ht="15" hidden="false" customHeight="false" outlineLevel="0" collapsed="false">
      <c r="A355" s="22" t="n">
        <v>354</v>
      </c>
      <c r="B355" s="22" t="n">
        <f aca="false">INT((A355-1)/12)+1</f>
        <v>30</v>
      </c>
      <c r="C355" s="23" t="n">
        <f aca="false">IF(B355&gt;=入力!$B$14,入力!$B$15,IF(B355&gt;=入力!$B$12,入力!$B$13,入力!$B$11))</f>
        <v>0.02</v>
      </c>
      <c r="D355" s="24" t="n">
        <f aca="false">H354</f>
        <v>15453956.89011</v>
      </c>
      <c r="E355" s="24" t="n">
        <f aca="false">-PMT(C355/12,420-A355+1,D355)</f>
        <v>243965.960681775</v>
      </c>
      <c r="F355" s="24" t="n">
        <f aca="false">D355*C355/12</f>
        <v>25756.5948168501</v>
      </c>
      <c r="G355" s="24" t="n">
        <f aca="false">E355-F355</f>
        <v>218209.365864925</v>
      </c>
      <c r="H355" s="24" t="n">
        <f aca="false">D355-G355</f>
        <v>15235747.5242451</v>
      </c>
    </row>
    <row r="356" customFormat="false" ht="15" hidden="false" customHeight="false" outlineLevel="0" collapsed="false">
      <c r="A356" s="22" t="n">
        <v>355</v>
      </c>
      <c r="B356" s="22" t="n">
        <f aca="false">INT((A356-1)/12)+1</f>
        <v>30</v>
      </c>
      <c r="C356" s="23" t="n">
        <f aca="false">IF(B356&gt;=入力!$B$14,入力!$B$15,IF(B356&gt;=入力!$B$12,入力!$B$13,入力!$B$11))</f>
        <v>0.02</v>
      </c>
      <c r="D356" s="24" t="n">
        <f aca="false">H355</f>
        <v>15235747.5242451</v>
      </c>
      <c r="E356" s="24" t="n">
        <f aca="false">-PMT(C356/12,420-A356+1,D356)</f>
        <v>243965.960681775</v>
      </c>
      <c r="F356" s="24" t="n">
        <f aca="false">D356*C356/12</f>
        <v>25392.9125404085</v>
      </c>
      <c r="G356" s="24" t="n">
        <f aca="false">E356-F356</f>
        <v>218573.048141366</v>
      </c>
      <c r="H356" s="24" t="n">
        <f aca="false">D356-G356</f>
        <v>15017174.4761038</v>
      </c>
    </row>
    <row r="357" customFormat="false" ht="15" hidden="false" customHeight="false" outlineLevel="0" collapsed="false">
      <c r="A357" s="22" t="n">
        <v>356</v>
      </c>
      <c r="B357" s="22" t="n">
        <f aca="false">INT((A357-1)/12)+1</f>
        <v>30</v>
      </c>
      <c r="C357" s="23" t="n">
        <f aca="false">IF(B357&gt;=入力!$B$14,入力!$B$15,IF(B357&gt;=入力!$B$12,入力!$B$13,入力!$B$11))</f>
        <v>0.02</v>
      </c>
      <c r="D357" s="24" t="n">
        <f aca="false">H356</f>
        <v>15017174.4761038</v>
      </c>
      <c r="E357" s="24" t="n">
        <f aca="false">-PMT(C357/12,420-A357+1,D357)</f>
        <v>243965.960681775</v>
      </c>
      <c r="F357" s="24" t="n">
        <f aca="false">D357*C357/12</f>
        <v>25028.6241268396</v>
      </c>
      <c r="G357" s="24" t="n">
        <f aca="false">E357-F357</f>
        <v>218937.336554935</v>
      </c>
      <c r="H357" s="24" t="n">
        <f aca="false">D357-G357</f>
        <v>14798237.1395488</v>
      </c>
    </row>
    <row r="358" customFormat="false" ht="15" hidden="false" customHeight="false" outlineLevel="0" collapsed="false">
      <c r="A358" s="22" t="n">
        <v>357</v>
      </c>
      <c r="B358" s="22" t="n">
        <f aca="false">INT((A358-1)/12)+1</f>
        <v>30</v>
      </c>
      <c r="C358" s="23" t="n">
        <f aca="false">IF(B358&gt;=入力!$B$14,入力!$B$15,IF(B358&gt;=入力!$B$12,入力!$B$13,入力!$B$11))</f>
        <v>0.02</v>
      </c>
      <c r="D358" s="24" t="n">
        <f aca="false">H357</f>
        <v>14798237.1395488</v>
      </c>
      <c r="E358" s="24" t="n">
        <f aca="false">-PMT(C358/12,420-A358+1,D358)</f>
        <v>243965.960681775</v>
      </c>
      <c r="F358" s="24" t="n">
        <f aca="false">D358*C358/12</f>
        <v>24663.7285659147</v>
      </c>
      <c r="G358" s="24" t="n">
        <f aca="false">E358-F358</f>
        <v>219302.23211586</v>
      </c>
      <c r="H358" s="24" t="n">
        <f aca="false">D358-G358</f>
        <v>14578934.907433</v>
      </c>
    </row>
    <row r="359" customFormat="false" ht="15" hidden="false" customHeight="false" outlineLevel="0" collapsed="false">
      <c r="A359" s="22" t="n">
        <v>358</v>
      </c>
      <c r="B359" s="22" t="n">
        <f aca="false">INT((A359-1)/12)+1</f>
        <v>30</v>
      </c>
      <c r="C359" s="23" t="n">
        <f aca="false">IF(B359&gt;=入力!$B$14,入力!$B$15,IF(B359&gt;=入力!$B$12,入力!$B$13,入力!$B$11))</f>
        <v>0.02</v>
      </c>
      <c r="D359" s="24" t="n">
        <f aca="false">H358</f>
        <v>14578934.907433</v>
      </c>
      <c r="E359" s="24" t="n">
        <f aca="false">-PMT(C359/12,420-A359+1,D359)</f>
        <v>243965.960681775</v>
      </c>
      <c r="F359" s="24" t="n">
        <f aca="false">D359*C359/12</f>
        <v>24298.2248457216</v>
      </c>
      <c r="G359" s="24" t="n">
        <f aca="false">E359-F359</f>
        <v>219667.735836053</v>
      </c>
      <c r="H359" s="24" t="n">
        <f aca="false">D359-G359</f>
        <v>14359267.1715969</v>
      </c>
    </row>
    <row r="360" customFormat="false" ht="15" hidden="false" customHeight="false" outlineLevel="0" collapsed="false">
      <c r="A360" s="22" t="n">
        <v>359</v>
      </c>
      <c r="B360" s="22" t="n">
        <f aca="false">INT((A360-1)/12)+1</f>
        <v>30</v>
      </c>
      <c r="C360" s="23" t="n">
        <f aca="false">IF(B360&gt;=入力!$B$14,入力!$B$15,IF(B360&gt;=入力!$B$12,入力!$B$13,入力!$B$11))</f>
        <v>0.02</v>
      </c>
      <c r="D360" s="24" t="n">
        <f aca="false">H359</f>
        <v>14359267.1715969</v>
      </c>
      <c r="E360" s="24" t="n">
        <f aca="false">-PMT(C360/12,420-A360+1,D360)</f>
        <v>243965.960681775</v>
      </c>
      <c r="F360" s="24" t="n">
        <f aca="false">D360*C360/12</f>
        <v>23932.1119526615</v>
      </c>
      <c r="G360" s="24" t="n">
        <f aca="false">E360-F360</f>
        <v>220033.848729113</v>
      </c>
      <c r="H360" s="24" t="n">
        <f aca="false">D360-G360</f>
        <v>14139233.3228678</v>
      </c>
    </row>
    <row r="361" customFormat="false" ht="15" hidden="false" customHeight="false" outlineLevel="0" collapsed="false">
      <c r="A361" s="22" t="n">
        <v>360</v>
      </c>
      <c r="B361" s="22" t="n">
        <f aca="false">INT((A361-1)/12)+1</f>
        <v>30</v>
      </c>
      <c r="C361" s="23" t="n">
        <f aca="false">IF(B361&gt;=入力!$B$14,入力!$B$15,IF(B361&gt;=入力!$B$12,入力!$B$13,入力!$B$11))</f>
        <v>0.02</v>
      </c>
      <c r="D361" s="24" t="n">
        <f aca="false">H360</f>
        <v>14139233.3228678</v>
      </c>
      <c r="E361" s="24" t="n">
        <f aca="false">-PMT(C361/12,420-A361+1,D361)</f>
        <v>243965.960681775</v>
      </c>
      <c r="F361" s="24" t="n">
        <f aca="false">D361*C361/12</f>
        <v>23565.3888714463</v>
      </c>
      <c r="G361" s="24" t="n">
        <f aca="false">E361-F361</f>
        <v>220400.571810328</v>
      </c>
      <c r="H361" s="24" t="n">
        <f aca="false">D361-G361</f>
        <v>13918832.7510575</v>
      </c>
    </row>
    <row r="362" customFormat="false" ht="15" hidden="false" customHeight="false" outlineLevel="0" collapsed="false">
      <c r="A362" s="22" t="n">
        <v>361</v>
      </c>
      <c r="B362" s="22" t="n">
        <f aca="false">INT((A362-1)/12)+1</f>
        <v>31</v>
      </c>
      <c r="C362" s="23" t="n">
        <f aca="false">IF(B362&gt;=入力!$B$14,入力!$B$15,IF(B362&gt;=入力!$B$12,入力!$B$13,入力!$B$11))</f>
        <v>0.02</v>
      </c>
      <c r="D362" s="24" t="n">
        <f aca="false">H361</f>
        <v>13918832.7510575</v>
      </c>
      <c r="E362" s="24" t="n">
        <f aca="false">-PMT(C362/12,420-A362+1,D362)</f>
        <v>243965.960681775</v>
      </c>
      <c r="F362" s="24" t="n">
        <f aca="false">D362*C362/12</f>
        <v>23198.0545850958</v>
      </c>
      <c r="G362" s="24" t="n">
        <f aca="false">E362-F362</f>
        <v>220767.906096679</v>
      </c>
      <c r="H362" s="24" t="n">
        <f aca="false">D362-G362</f>
        <v>13698064.8449608</v>
      </c>
    </row>
    <row r="363" customFormat="false" ht="15" hidden="false" customHeight="false" outlineLevel="0" collapsed="false">
      <c r="A363" s="22" t="n">
        <v>362</v>
      </c>
      <c r="B363" s="22" t="n">
        <f aca="false">INT((A363-1)/12)+1</f>
        <v>31</v>
      </c>
      <c r="C363" s="23" t="n">
        <f aca="false">IF(B363&gt;=入力!$B$14,入力!$B$15,IF(B363&gt;=入力!$B$12,入力!$B$13,入力!$B$11))</f>
        <v>0.02</v>
      </c>
      <c r="D363" s="24" t="n">
        <f aca="false">H362</f>
        <v>13698064.8449608</v>
      </c>
      <c r="E363" s="24" t="n">
        <f aca="false">-PMT(C363/12,420-A363+1,D363)</f>
        <v>243965.960681775</v>
      </c>
      <c r="F363" s="24" t="n">
        <f aca="false">D363*C363/12</f>
        <v>22830.1080749346</v>
      </c>
      <c r="G363" s="24" t="n">
        <f aca="false">E363-F363</f>
        <v>221135.85260684</v>
      </c>
      <c r="H363" s="24" t="n">
        <f aca="false">D363-G363</f>
        <v>13476928.9923539</v>
      </c>
    </row>
    <row r="364" customFormat="false" ht="15" hidden="false" customHeight="false" outlineLevel="0" collapsed="false">
      <c r="A364" s="22" t="n">
        <v>363</v>
      </c>
      <c r="B364" s="22" t="n">
        <f aca="false">INT((A364-1)/12)+1</f>
        <v>31</v>
      </c>
      <c r="C364" s="23" t="n">
        <f aca="false">IF(B364&gt;=入力!$B$14,入力!$B$15,IF(B364&gt;=入力!$B$12,入力!$B$13,入力!$B$11))</f>
        <v>0.02</v>
      </c>
      <c r="D364" s="24" t="n">
        <f aca="false">H363</f>
        <v>13476928.9923539</v>
      </c>
      <c r="E364" s="24" t="n">
        <f aca="false">-PMT(C364/12,420-A364+1,D364)</f>
        <v>243965.960681775</v>
      </c>
      <c r="F364" s="24" t="n">
        <f aca="false">D364*C364/12</f>
        <v>22461.5483205899</v>
      </c>
      <c r="G364" s="24" t="n">
        <f aca="false">E364-F364</f>
        <v>221504.412361185</v>
      </c>
      <c r="H364" s="24" t="n">
        <f aca="false">D364-G364</f>
        <v>13255424.5799928</v>
      </c>
    </row>
    <row r="365" customFormat="false" ht="15" hidden="false" customHeight="false" outlineLevel="0" collapsed="false">
      <c r="A365" s="22" t="n">
        <v>364</v>
      </c>
      <c r="B365" s="22" t="n">
        <f aca="false">INT((A365-1)/12)+1</f>
        <v>31</v>
      </c>
      <c r="C365" s="23" t="n">
        <f aca="false">IF(B365&gt;=入力!$B$14,入力!$B$15,IF(B365&gt;=入力!$B$12,入力!$B$13,入力!$B$11))</f>
        <v>0.02</v>
      </c>
      <c r="D365" s="24" t="n">
        <f aca="false">H364</f>
        <v>13255424.5799928</v>
      </c>
      <c r="E365" s="24" t="n">
        <f aca="false">-PMT(C365/12,420-A365+1,D365)</f>
        <v>243965.960681775</v>
      </c>
      <c r="F365" s="24" t="n">
        <f aca="false">D365*C365/12</f>
        <v>22092.3742999879</v>
      </c>
      <c r="G365" s="24" t="n">
        <f aca="false">E365-F365</f>
        <v>221873.586381787</v>
      </c>
      <c r="H365" s="24" t="n">
        <f aca="false">D365-G365</f>
        <v>13033550.993611</v>
      </c>
    </row>
    <row r="366" customFormat="false" ht="15" hidden="false" customHeight="false" outlineLevel="0" collapsed="false">
      <c r="A366" s="22" t="n">
        <v>365</v>
      </c>
      <c r="B366" s="22" t="n">
        <f aca="false">INT((A366-1)/12)+1</f>
        <v>31</v>
      </c>
      <c r="C366" s="23" t="n">
        <f aca="false">IF(B366&gt;=入力!$B$14,入力!$B$15,IF(B366&gt;=入力!$B$12,入力!$B$13,入力!$B$11))</f>
        <v>0.02</v>
      </c>
      <c r="D366" s="24" t="n">
        <f aca="false">H365</f>
        <v>13033550.993611</v>
      </c>
      <c r="E366" s="24" t="n">
        <f aca="false">-PMT(C366/12,420-A366+1,D366)</f>
        <v>243965.960681775</v>
      </c>
      <c r="F366" s="24" t="n">
        <f aca="false">D366*C366/12</f>
        <v>21722.5849893516</v>
      </c>
      <c r="G366" s="24" t="n">
        <f aca="false">E366-F366</f>
        <v>222243.375692423</v>
      </c>
      <c r="H366" s="24" t="n">
        <f aca="false">D366-G366</f>
        <v>12811307.6179186</v>
      </c>
    </row>
    <row r="367" customFormat="false" ht="15" hidden="false" customHeight="false" outlineLevel="0" collapsed="false">
      <c r="A367" s="22" t="n">
        <v>366</v>
      </c>
      <c r="B367" s="22" t="n">
        <f aca="false">INT((A367-1)/12)+1</f>
        <v>31</v>
      </c>
      <c r="C367" s="23" t="n">
        <f aca="false">IF(B367&gt;=入力!$B$14,入力!$B$15,IF(B367&gt;=入力!$B$12,入力!$B$13,入力!$B$11))</f>
        <v>0.02</v>
      </c>
      <c r="D367" s="24" t="n">
        <f aca="false">H366</f>
        <v>12811307.6179186</v>
      </c>
      <c r="E367" s="24" t="n">
        <f aca="false">-PMT(C367/12,420-A367+1,D367)</f>
        <v>243965.960681775</v>
      </c>
      <c r="F367" s="24" t="n">
        <f aca="false">D367*C367/12</f>
        <v>21352.1793631976</v>
      </c>
      <c r="G367" s="24" t="n">
        <f aca="false">E367-F367</f>
        <v>222613.781318577</v>
      </c>
      <c r="H367" s="24" t="n">
        <f aca="false">D367-G367</f>
        <v>12588693.8366</v>
      </c>
    </row>
    <row r="368" customFormat="false" ht="15" hidden="false" customHeight="false" outlineLevel="0" collapsed="false">
      <c r="A368" s="22" t="n">
        <v>367</v>
      </c>
      <c r="B368" s="22" t="n">
        <f aca="false">INT((A368-1)/12)+1</f>
        <v>31</v>
      </c>
      <c r="C368" s="23" t="n">
        <f aca="false">IF(B368&gt;=入力!$B$14,入力!$B$15,IF(B368&gt;=入力!$B$12,入力!$B$13,入力!$B$11))</f>
        <v>0.02</v>
      </c>
      <c r="D368" s="24" t="n">
        <f aca="false">H367</f>
        <v>12588693.8366</v>
      </c>
      <c r="E368" s="24" t="n">
        <f aca="false">-PMT(C368/12,420-A368+1,D368)</f>
        <v>243965.960681775</v>
      </c>
      <c r="F368" s="24" t="n">
        <f aca="false">D368*C368/12</f>
        <v>20981.1563943333</v>
      </c>
      <c r="G368" s="24" t="n">
        <f aca="false">E368-F368</f>
        <v>222984.804287441</v>
      </c>
      <c r="H368" s="24" t="n">
        <f aca="false">D368-G368</f>
        <v>12365709.0323125</v>
      </c>
    </row>
    <row r="369" customFormat="false" ht="15" hidden="false" customHeight="false" outlineLevel="0" collapsed="false">
      <c r="A369" s="22" t="n">
        <v>368</v>
      </c>
      <c r="B369" s="22" t="n">
        <f aca="false">INT((A369-1)/12)+1</f>
        <v>31</v>
      </c>
      <c r="C369" s="23" t="n">
        <f aca="false">IF(B369&gt;=入力!$B$14,入力!$B$15,IF(B369&gt;=入力!$B$12,入力!$B$13,入力!$B$11))</f>
        <v>0.02</v>
      </c>
      <c r="D369" s="24" t="n">
        <f aca="false">H368</f>
        <v>12365709.0323125</v>
      </c>
      <c r="E369" s="24" t="n">
        <f aca="false">-PMT(C369/12,420-A369+1,D369)</f>
        <v>243965.960681775</v>
      </c>
      <c r="F369" s="24" t="n">
        <f aca="false">D369*C369/12</f>
        <v>20609.5150538542</v>
      </c>
      <c r="G369" s="24" t="n">
        <f aca="false">E369-F369</f>
        <v>223356.44562792</v>
      </c>
      <c r="H369" s="24" t="n">
        <f aca="false">D369-G369</f>
        <v>12142352.5866846</v>
      </c>
    </row>
    <row r="370" customFormat="false" ht="15" hidden="false" customHeight="false" outlineLevel="0" collapsed="false">
      <c r="A370" s="22" t="n">
        <v>369</v>
      </c>
      <c r="B370" s="22" t="n">
        <f aca="false">INT((A370-1)/12)+1</f>
        <v>31</v>
      </c>
      <c r="C370" s="23" t="n">
        <f aca="false">IF(B370&gt;=入力!$B$14,入力!$B$15,IF(B370&gt;=入力!$B$12,入力!$B$13,入力!$B$11))</f>
        <v>0.02</v>
      </c>
      <c r="D370" s="24" t="n">
        <f aca="false">H369</f>
        <v>12142352.5866846</v>
      </c>
      <c r="E370" s="24" t="n">
        <f aca="false">-PMT(C370/12,420-A370+1,D370)</f>
        <v>243965.960681775</v>
      </c>
      <c r="F370" s="24" t="n">
        <f aca="false">D370*C370/12</f>
        <v>20237.254311141</v>
      </c>
      <c r="G370" s="24" t="n">
        <f aca="false">E370-F370</f>
        <v>223728.706370634</v>
      </c>
      <c r="H370" s="24" t="n">
        <f aca="false">D370-G370</f>
        <v>11918623.880314</v>
      </c>
    </row>
    <row r="371" customFormat="false" ht="15" hidden="false" customHeight="false" outlineLevel="0" collapsed="false">
      <c r="A371" s="22" t="n">
        <v>370</v>
      </c>
      <c r="B371" s="22" t="n">
        <f aca="false">INT((A371-1)/12)+1</f>
        <v>31</v>
      </c>
      <c r="C371" s="23" t="n">
        <f aca="false">IF(B371&gt;=入力!$B$14,入力!$B$15,IF(B371&gt;=入力!$B$12,入力!$B$13,入力!$B$11))</f>
        <v>0.02</v>
      </c>
      <c r="D371" s="24" t="n">
        <f aca="false">H370</f>
        <v>11918623.880314</v>
      </c>
      <c r="E371" s="24" t="n">
        <f aca="false">-PMT(C371/12,420-A371+1,D371)</f>
        <v>243965.960681775</v>
      </c>
      <c r="F371" s="24" t="n">
        <f aca="false">D371*C371/12</f>
        <v>19864.3731338566</v>
      </c>
      <c r="G371" s="24" t="n">
        <f aca="false">E371-F371</f>
        <v>224101.587547918</v>
      </c>
      <c r="H371" s="24" t="n">
        <f aca="false">D371-G371</f>
        <v>11694522.2927661</v>
      </c>
    </row>
    <row r="372" customFormat="false" ht="15" hidden="false" customHeight="false" outlineLevel="0" collapsed="false">
      <c r="A372" s="22" t="n">
        <v>371</v>
      </c>
      <c r="B372" s="22" t="n">
        <f aca="false">INT((A372-1)/12)+1</f>
        <v>31</v>
      </c>
      <c r="C372" s="23" t="n">
        <f aca="false">IF(B372&gt;=入力!$B$14,入力!$B$15,IF(B372&gt;=入力!$B$12,入力!$B$13,入力!$B$11))</f>
        <v>0.02</v>
      </c>
      <c r="D372" s="24" t="n">
        <f aca="false">H371</f>
        <v>11694522.2927661</v>
      </c>
      <c r="E372" s="24" t="n">
        <f aca="false">-PMT(C372/12,420-A372+1,D372)</f>
        <v>243965.960681775</v>
      </c>
      <c r="F372" s="24" t="n">
        <f aca="false">D372*C372/12</f>
        <v>19490.8704879434</v>
      </c>
      <c r="G372" s="24" t="n">
        <f aca="false">E372-F372</f>
        <v>224475.090193831</v>
      </c>
      <c r="H372" s="24" t="n">
        <f aca="false">D372-G372</f>
        <v>11470047.2025722</v>
      </c>
    </row>
    <row r="373" customFormat="false" ht="15" hidden="false" customHeight="false" outlineLevel="0" collapsed="false">
      <c r="A373" s="22" t="n">
        <v>372</v>
      </c>
      <c r="B373" s="22" t="n">
        <f aca="false">INT((A373-1)/12)+1</f>
        <v>31</v>
      </c>
      <c r="C373" s="23" t="n">
        <f aca="false">IF(B373&gt;=入力!$B$14,入力!$B$15,IF(B373&gt;=入力!$B$12,入力!$B$13,入力!$B$11))</f>
        <v>0.02</v>
      </c>
      <c r="D373" s="24" t="n">
        <f aca="false">H372</f>
        <v>11470047.2025722</v>
      </c>
      <c r="E373" s="24" t="n">
        <f aca="false">-PMT(C373/12,420-A373+1,D373)</f>
        <v>243965.960681775</v>
      </c>
      <c r="F373" s="24" t="n">
        <f aca="false">D373*C373/12</f>
        <v>19116.7453376204</v>
      </c>
      <c r="G373" s="24" t="n">
        <f aca="false">E373-F373</f>
        <v>224849.215344154</v>
      </c>
      <c r="H373" s="24" t="n">
        <f aca="false">D373-G373</f>
        <v>11245197.9872281</v>
      </c>
    </row>
    <row r="374" customFormat="false" ht="15" hidden="false" customHeight="false" outlineLevel="0" collapsed="false">
      <c r="A374" s="22" t="n">
        <v>373</v>
      </c>
      <c r="B374" s="22" t="n">
        <f aca="false">INT((A374-1)/12)+1</f>
        <v>32</v>
      </c>
      <c r="C374" s="23" t="n">
        <f aca="false">IF(B374&gt;=入力!$B$14,入力!$B$15,IF(B374&gt;=入力!$B$12,入力!$B$13,入力!$B$11))</f>
        <v>0.02</v>
      </c>
      <c r="D374" s="24" t="n">
        <f aca="false">H373</f>
        <v>11245197.9872281</v>
      </c>
      <c r="E374" s="24" t="n">
        <f aca="false">-PMT(C374/12,420-A374+1,D374)</f>
        <v>243965.960681775</v>
      </c>
      <c r="F374" s="24" t="n">
        <f aca="false">D374*C374/12</f>
        <v>18741.9966453801</v>
      </c>
      <c r="G374" s="24" t="n">
        <f aca="false">E374-F374</f>
        <v>225223.964036395</v>
      </c>
      <c r="H374" s="24" t="n">
        <f aca="false">D374-G374</f>
        <v>11019974.0231917</v>
      </c>
    </row>
    <row r="375" customFormat="false" ht="15" hidden="false" customHeight="false" outlineLevel="0" collapsed="false">
      <c r="A375" s="22" t="n">
        <v>374</v>
      </c>
      <c r="B375" s="22" t="n">
        <f aca="false">INT((A375-1)/12)+1</f>
        <v>32</v>
      </c>
      <c r="C375" s="23" t="n">
        <f aca="false">IF(B375&gt;=入力!$B$14,入力!$B$15,IF(B375&gt;=入力!$B$12,入力!$B$13,入力!$B$11))</f>
        <v>0.02</v>
      </c>
      <c r="D375" s="24" t="n">
        <f aca="false">H374</f>
        <v>11019974.0231917</v>
      </c>
      <c r="E375" s="24" t="n">
        <f aca="false">-PMT(C375/12,420-A375+1,D375)</f>
        <v>243965.960681775</v>
      </c>
      <c r="F375" s="24" t="n">
        <f aca="false">D375*C375/12</f>
        <v>18366.6233719861</v>
      </c>
      <c r="G375" s="24" t="n">
        <f aca="false">E375-F375</f>
        <v>225599.337309789</v>
      </c>
      <c r="H375" s="24" t="n">
        <f aca="false">D375-G375</f>
        <v>10794374.6858819</v>
      </c>
    </row>
    <row r="376" customFormat="false" ht="15" hidden="false" customHeight="false" outlineLevel="0" collapsed="false">
      <c r="A376" s="22" t="n">
        <v>375</v>
      </c>
      <c r="B376" s="22" t="n">
        <f aca="false">INT((A376-1)/12)+1</f>
        <v>32</v>
      </c>
      <c r="C376" s="23" t="n">
        <f aca="false">IF(B376&gt;=入力!$B$14,入力!$B$15,IF(B376&gt;=入力!$B$12,入力!$B$13,入力!$B$11))</f>
        <v>0.02</v>
      </c>
      <c r="D376" s="24" t="n">
        <f aca="false">H375</f>
        <v>10794374.6858819</v>
      </c>
      <c r="E376" s="24" t="n">
        <f aca="false">-PMT(C376/12,420-A376+1,D376)</f>
        <v>243965.960681775</v>
      </c>
      <c r="F376" s="24" t="n">
        <f aca="false">D376*C376/12</f>
        <v>17990.6244764698</v>
      </c>
      <c r="G376" s="24" t="n">
        <f aca="false">E376-F376</f>
        <v>225975.336205305</v>
      </c>
      <c r="H376" s="24" t="n">
        <f aca="false">D376-G376</f>
        <v>10568399.3496766</v>
      </c>
    </row>
    <row r="377" customFormat="false" ht="15" hidden="false" customHeight="false" outlineLevel="0" collapsed="false">
      <c r="A377" s="22" t="n">
        <v>376</v>
      </c>
      <c r="B377" s="22" t="n">
        <f aca="false">INT((A377-1)/12)+1</f>
        <v>32</v>
      </c>
      <c r="C377" s="23" t="n">
        <f aca="false">IF(B377&gt;=入力!$B$14,入力!$B$15,IF(B377&gt;=入力!$B$12,入力!$B$13,入力!$B$11))</f>
        <v>0.02</v>
      </c>
      <c r="D377" s="24" t="n">
        <f aca="false">H376</f>
        <v>10568399.3496766</v>
      </c>
      <c r="E377" s="24" t="n">
        <f aca="false">-PMT(C377/12,420-A377+1,D377)</f>
        <v>243965.960681775</v>
      </c>
      <c r="F377" s="24" t="n">
        <f aca="false">D377*C377/12</f>
        <v>17613.9989161277</v>
      </c>
      <c r="G377" s="24" t="n">
        <f aca="false">E377-F377</f>
        <v>226351.961765647</v>
      </c>
      <c r="H377" s="24" t="n">
        <f aca="false">D377-G377</f>
        <v>10342047.3879109</v>
      </c>
    </row>
    <row r="378" customFormat="false" ht="15" hidden="false" customHeight="false" outlineLevel="0" collapsed="false">
      <c r="A378" s="22" t="n">
        <v>377</v>
      </c>
      <c r="B378" s="22" t="n">
        <f aca="false">INT((A378-1)/12)+1</f>
        <v>32</v>
      </c>
      <c r="C378" s="23" t="n">
        <f aca="false">IF(B378&gt;=入力!$B$14,入力!$B$15,IF(B378&gt;=入力!$B$12,入力!$B$13,入力!$B$11))</f>
        <v>0.02</v>
      </c>
      <c r="D378" s="24" t="n">
        <f aca="false">H377</f>
        <v>10342047.3879109</v>
      </c>
      <c r="E378" s="24" t="n">
        <f aca="false">-PMT(C378/12,420-A378+1,D378)</f>
        <v>243965.960681775</v>
      </c>
      <c r="F378" s="24" t="n">
        <f aca="false">D378*C378/12</f>
        <v>17236.7456465182</v>
      </c>
      <c r="G378" s="24" t="n">
        <f aca="false">E378-F378</f>
        <v>226729.215035256</v>
      </c>
      <c r="H378" s="24" t="n">
        <f aca="false">D378-G378</f>
        <v>10115318.1728757</v>
      </c>
    </row>
    <row r="379" customFormat="false" ht="15" hidden="false" customHeight="false" outlineLevel="0" collapsed="false">
      <c r="A379" s="22" t="n">
        <v>378</v>
      </c>
      <c r="B379" s="22" t="n">
        <f aca="false">INT((A379-1)/12)+1</f>
        <v>32</v>
      </c>
      <c r="C379" s="23" t="n">
        <f aca="false">IF(B379&gt;=入力!$B$14,入力!$B$15,IF(B379&gt;=入力!$B$12,入力!$B$13,入力!$B$11))</f>
        <v>0.02</v>
      </c>
      <c r="D379" s="24" t="n">
        <f aca="false">H378</f>
        <v>10115318.1728757</v>
      </c>
      <c r="E379" s="24" t="n">
        <f aca="false">-PMT(C379/12,420-A379+1,D379)</f>
        <v>243965.960681775</v>
      </c>
      <c r="F379" s="24" t="n">
        <f aca="false">D379*C379/12</f>
        <v>16858.8636214595</v>
      </c>
      <c r="G379" s="24" t="n">
        <f aca="false">E379-F379</f>
        <v>227107.097060315</v>
      </c>
      <c r="H379" s="24" t="n">
        <f aca="false">D379-G379</f>
        <v>9888211.07581537</v>
      </c>
    </row>
    <row r="380" customFormat="false" ht="15" hidden="false" customHeight="false" outlineLevel="0" collapsed="false">
      <c r="A380" s="22" t="n">
        <v>379</v>
      </c>
      <c r="B380" s="22" t="n">
        <f aca="false">INT((A380-1)/12)+1</f>
        <v>32</v>
      </c>
      <c r="C380" s="23" t="n">
        <f aca="false">IF(B380&gt;=入力!$B$14,入力!$B$15,IF(B380&gt;=入力!$B$12,入力!$B$13,入力!$B$11))</f>
        <v>0.02</v>
      </c>
      <c r="D380" s="24" t="n">
        <f aca="false">H379</f>
        <v>9888211.07581537</v>
      </c>
      <c r="E380" s="24" t="n">
        <f aca="false">-PMT(C380/12,420-A380+1,D380)</f>
        <v>243965.960681775</v>
      </c>
      <c r="F380" s="24" t="n">
        <f aca="false">D380*C380/12</f>
        <v>16480.3517930256</v>
      </c>
      <c r="G380" s="24" t="n">
        <f aca="false">E380-F380</f>
        <v>227485.608888749</v>
      </c>
      <c r="H380" s="24" t="n">
        <f aca="false">D380-G380</f>
        <v>9660725.46692662</v>
      </c>
    </row>
    <row r="381" customFormat="false" ht="15" hidden="false" customHeight="false" outlineLevel="0" collapsed="false">
      <c r="A381" s="22" t="n">
        <v>380</v>
      </c>
      <c r="B381" s="22" t="n">
        <f aca="false">INT((A381-1)/12)+1</f>
        <v>32</v>
      </c>
      <c r="C381" s="23" t="n">
        <f aca="false">IF(B381&gt;=入力!$B$14,入力!$B$15,IF(B381&gt;=入力!$B$12,入力!$B$13,入力!$B$11))</f>
        <v>0.02</v>
      </c>
      <c r="D381" s="24" t="n">
        <f aca="false">H380</f>
        <v>9660725.46692662</v>
      </c>
      <c r="E381" s="24" t="n">
        <f aca="false">-PMT(C381/12,420-A381+1,D381)</f>
        <v>243965.960681775</v>
      </c>
      <c r="F381" s="24" t="n">
        <f aca="false">D381*C381/12</f>
        <v>16101.2091115444</v>
      </c>
      <c r="G381" s="24" t="n">
        <f aca="false">E381-F381</f>
        <v>227864.75157023</v>
      </c>
      <c r="H381" s="24" t="n">
        <f aca="false">D381-G381</f>
        <v>9432860.71535639</v>
      </c>
    </row>
    <row r="382" customFormat="false" ht="15" hidden="false" customHeight="false" outlineLevel="0" collapsed="false">
      <c r="A382" s="22" t="n">
        <v>381</v>
      </c>
      <c r="B382" s="22" t="n">
        <f aca="false">INT((A382-1)/12)+1</f>
        <v>32</v>
      </c>
      <c r="C382" s="23" t="n">
        <f aca="false">IF(B382&gt;=入力!$B$14,入力!$B$15,IF(B382&gt;=入力!$B$12,入力!$B$13,入力!$B$11))</f>
        <v>0.02</v>
      </c>
      <c r="D382" s="24" t="n">
        <f aca="false">H381</f>
        <v>9432860.71535639</v>
      </c>
      <c r="E382" s="24" t="n">
        <f aca="false">-PMT(C382/12,420-A382+1,D382)</f>
        <v>243965.960681775</v>
      </c>
      <c r="F382" s="24" t="n">
        <f aca="false">D382*C382/12</f>
        <v>15721.434525594</v>
      </c>
      <c r="G382" s="24" t="n">
        <f aca="false">E382-F382</f>
        <v>228244.526156181</v>
      </c>
      <c r="H382" s="24" t="n">
        <f aca="false">D382-G382</f>
        <v>9204616.18920021</v>
      </c>
    </row>
    <row r="383" customFormat="false" ht="15" hidden="false" customHeight="false" outlineLevel="0" collapsed="false">
      <c r="A383" s="22" t="n">
        <v>382</v>
      </c>
      <c r="B383" s="22" t="n">
        <f aca="false">INT((A383-1)/12)+1</f>
        <v>32</v>
      </c>
      <c r="C383" s="23" t="n">
        <f aca="false">IF(B383&gt;=入力!$B$14,入力!$B$15,IF(B383&gt;=入力!$B$12,入力!$B$13,入力!$B$11))</f>
        <v>0.02</v>
      </c>
      <c r="D383" s="24" t="n">
        <f aca="false">H382</f>
        <v>9204616.18920021</v>
      </c>
      <c r="E383" s="24" t="n">
        <f aca="false">-PMT(C383/12,420-A383+1,D383)</f>
        <v>243965.960681775</v>
      </c>
      <c r="F383" s="24" t="n">
        <f aca="false">D383*C383/12</f>
        <v>15341.0269820004</v>
      </c>
      <c r="G383" s="24" t="n">
        <f aca="false">E383-F383</f>
        <v>228624.933699774</v>
      </c>
      <c r="H383" s="24" t="n">
        <f aca="false">D383-G383</f>
        <v>8975991.25550044</v>
      </c>
    </row>
    <row r="384" customFormat="false" ht="15" hidden="false" customHeight="false" outlineLevel="0" collapsed="false">
      <c r="A384" s="22" t="n">
        <v>383</v>
      </c>
      <c r="B384" s="22" t="n">
        <f aca="false">INT((A384-1)/12)+1</f>
        <v>32</v>
      </c>
      <c r="C384" s="23" t="n">
        <f aca="false">IF(B384&gt;=入力!$B$14,入力!$B$15,IF(B384&gt;=入力!$B$12,入力!$B$13,入力!$B$11))</f>
        <v>0.02</v>
      </c>
      <c r="D384" s="24" t="n">
        <f aca="false">H383</f>
        <v>8975991.25550044</v>
      </c>
      <c r="E384" s="24" t="n">
        <f aca="false">-PMT(C384/12,420-A384+1,D384)</f>
        <v>243965.960681775</v>
      </c>
      <c r="F384" s="24" t="n">
        <f aca="false">D384*C384/12</f>
        <v>14959.9854258341</v>
      </c>
      <c r="G384" s="24" t="n">
        <f aca="false">E384-F384</f>
        <v>229005.975255941</v>
      </c>
      <c r="H384" s="24" t="n">
        <f aca="false">D384-G384</f>
        <v>8746985.2802445</v>
      </c>
    </row>
    <row r="385" customFormat="false" ht="15" hidden="false" customHeight="false" outlineLevel="0" collapsed="false">
      <c r="A385" s="22" t="n">
        <v>384</v>
      </c>
      <c r="B385" s="22" t="n">
        <f aca="false">INT((A385-1)/12)+1</f>
        <v>32</v>
      </c>
      <c r="C385" s="23" t="n">
        <f aca="false">IF(B385&gt;=入力!$B$14,入力!$B$15,IF(B385&gt;=入力!$B$12,入力!$B$13,入力!$B$11))</f>
        <v>0.02</v>
      </c>
      <c r="D385" s="24" t="n">
        <f aca="false">H384</f>
        <v>8746985.2802445</v>
      </c>
      <c r="E385" s="24" t="n">
        <f aca="false">-PMT(C385/12,420-A385+1,D385)</f>
        <v>243965.960681775</v>
      </c>
      <c r="F385" s="24" t="n">
        <f aca="false">D385*C385/12</f>
        <v>14578.3088004075</v>
      </c>
      <c r="G385" s="24" t="n">
        <f aca="false">E385-F385</f>
        <v>229387.651881367</v>
      </c>
      <c r="H385" s="24" t="n">
        <f aca="false">D385-G385</f>
        <v>8517597.62836313</v>
      </c>
    </row>
    <row r="386" customFormat="false" ht="15" hidden="false" customHeight="false" outlineLevel="0" collapsed="false">
      <c r="A386" s="22" t="n">
        <v>385</v>
      </c>
      <c r="B386" s="22" t="n">
        <f aca="false">INT((A386-1)/12)+1</f>
        <v>33</v>
      </c>
      <c r="C386" s="23" t="n">
        <f aca="false">IF(B386&gt;=入力!$B$14,入力!$B$15,IF(B386&gt;=入力!$B$12,入力!$B$13,入力!$B$11))</f>
        <v>0.02</v>
      </c>
      <c r="D386" s="24" t="n">
        <f aca="false">H385</f>
        <v>8517597.62836313</v>
      </c>
      <c r="E386" s="24" t="n">
        <f aca="false">-PMT(C386/12,420-A386+1,D386)</f>
        <v>243965.960681775</v>
      </c>
      <c r="F386" s="24" t="n">
        <f aca="false">D386*C386/12</f>
        <v>14195.9960472719</v>
      </c>
      <c r="G386" s="24" t="n">
        <f aca="false">E386-F386</f>
        <v>229769.964634503</v>
      </c>
      <c r="H386" s="24" t="n">
        <f aca="false">D386-G386</f>
        <v>8287827.66372863</v>
      </c>
    </row>
    <row r="387" customFormat="false" ht="15" hidden="false" customHeight="false" outlineLevel="0" collapsed="false">
      <c r="A387" s="22" t="n">
        <v>386</v>
      </c>
      <c r="B387" s="22" t="n">
        <f aca="false">INT((A387-1)/12)+1</f>
        <v>33</v>
      </c>
      <c r="C387" s="23" t="n">
        <f aca="false">IF(B387&gt;=入力!$B$14,入力!$B$15,IF(B387&gt;=入力!$B$12,入力!$B$13,入力!$B$11))</f>
        <v>0.02</v>
      </c>
      <c r="D387" s="24" t="n">
        <f aca="false">H386</f>
        <v>8287827.66372863</v>
      </c>
      <c r="E387" s="24" t="n">
        <f aca="false">-PMT(C387/12,420-A387+1,D387)</f>
        <v>243965.960681775</v>
      </c>
      <c r="F387" s="24" t="n">
        <f aca="false">D387*C387/12</f>
        <v>13813.0461062144</v>
      </c>
      <c r="G387" s="24" t="n">
        <f aca="false">E387-F387</f>
        <v>230152.91457556</v>
      </c>
      <c r="H387" s="24" t="n">
        <f aca="false">D387-G387</f>
        <v>8057674.74915307</v>
      </c>
    </row>
    <row r="388" customFormat="false" ht="15" hidden="false" customHeight="false" outlineLevel="0" collapsed="false">
      <c r="A388" s="22" t="n">
        <v>387</v>
      </c>
      <c r="B388" s="22" t="n">
        <f aca="false">INT((A388-1)/12)+1</f>
        <v>33</v>
      </c>
      <c r="C388" s="23" t="n">
        <f aca="false">IF(B388&gt;=入力!$B$14,入力!$B$15,IF(B388&gt;=入力!$B$12,入力!$B$13,入力!$B$11))</f>
        <v>0.02</v>
      </c>
      <c r="D388" s="24" t="n">
        <f aca="false">H387</f>
        <v>8057674.74915307</v>
      </c>
      <c r="E388" s="24" t="n">
        <f aca="false">-PMT(C388/12,420-A388+1,D388)</f>
        <v>243965.960681775</v>
      </c>
      <c r="F388" s="24" t="n">
        <f aca="false">D388*C388/12</f>
        <v>13429.4579152551</v>
      </c>
      <c r="G388" s="24" t="n">
        <f aca="false">E388-F388</f>
        <v>230536.50276652</v>
      </c>
      <c r="H388" s="24" t="n">
        <f aca="false">D388-G388</f>
        <v>7827138.24638655</v>
      </c>
    </row>
    <row r="389" customFormat="false" ht="15" hidden="false" customHeight="false" outlineLevel="0" collapsed="false">
      <c r="A389" s="22" t="n">
        <v>388</v>
      </c>
      <c r="B389" s="22" t="n">
        <f aca="false">INT((A389-1)/12)+1</f>
        <v>33</v>
      </c>
      <c r="C389" s="23" t="n">
        <f aca="false">IF(B389&gt;=入力!$B$14,入力!$B$15,IF(B389&gt;=入力!$B$12,入力!$B$13,入力!$B$11))</f>
        <v>0.02</v>
      </c>
      <c r="D389" s="24" t="n">
        <f aca="false">H388</f>
        <v>7827138.24638655</v>
      </c>
      <c r="E389" s="24" t="n">
        <f aca="false">-PMT(C389/12,420-A389+1,D389)</f>
        <v>243965.960681775</v>
      </c>
      <c r="F389" s="24" t="n">
        <f aca="false">D389*C389/12</f>
        <v>13045.2304106442</v>
      </c>
      <c r="G389" s="24" t="n">
        <f aca="false">E389-F389</f>
        <v>230920.73027113</v>
      </c>
      <c r="H389" s="24" t="n">
        <f aca="false">D389-G389</f>
        <v>7596217.51611542</v>
      </c>
    </row>
    <row r="390" customFormat="false" ht="15" hidden="false" customHeight="false" outlineLevel="0" collapsed="false">
      <c r="A390" s="22" t="n">
        <v>389</v>
      </c>
      <c r="B390" s="22" t="n">
        <f aca="false">INT((A390-1)/12)+1</f>
        <v>33</v>
      </c>
      <c r="C390" s="23" t="n">
        <f aca="false">IF(B390&gt;=入力!$B$14,入力!$B$15,IF(B390&gt;=入力!$B$12,入力!$B$13,入力!$B$11))</f>
        <v>0.02</v>
      </c>
      <c r="D390" s="24" t="n">
        <f aca="false">H389</f>
        <v>7596217.51611542</v>
      </c>
      <c r="E390" s="24" t="n">
        <f aca="false">-PMT(C390/12,420-A390+1,D390)</f>
        <v>243965.960681775</v>
      </c>
      <c r="F390" s="24" t="n">
        <f aca="false">D390*C390/12</f>
        <v>12660.362526859</v>
      </c>
      <c r="G390" s="24" t="n">
        <f aca="false">E390-F390</f>
        <v>231305.598154916</v>
      </c>
      <c r="H390" s="24" t="n">
        <f aca="false">D390-G390</f>
        <v>7364911.9179605</v>
      </c>
    </row>
    <row r="391" customFormat="false" ht="15" hidden="false" customHeight="false" outlineLevel="0" collapsed="false">
      <c r="A391" s="22" t="n">
        <v>390</v>
      </c>
      <c r="B391" s="22" t="n">
        <f aca="false">INT((A391-1)/12)+1</f>
        <v>33</v>
      </c>
      <c r="C391" s="23" t="n">
        <f aca="false">IF(B391&gt;=入力!$B$14,入力!$B$15,IF(B391&gt;=入力!$B$12,入力!$B$13,入力!$B$11))</f>
        <v>0.02</v>
      </c>
      <c r="D391" s="24" t="n">
        <f aca="false">H390</f>
        <v>7364911.9179605</v>
      </c>
      <c r="E391" s="24" t="n">
        <f aca="false">-PMT(C391/12,420-A391+1,D391)</f>
        <v>243965.960681775</v>
      </c>
      <c r="F391" s="24" t="n">
        <f aca="false">D391*C391/12</f>
        <v>12274.8531966008</v>
      </c>
      <c r="G391" s="24" t="n">
        <f aca="false">E391-F391</f>
        <v>231691.107485174</v>
      </c>
      <c r="H391" s="24" t="n">
        <f aca="false">D391-G391</f>
        <v>7133220.81047533</v>
      </c>
    </row>
    <row r="392" customFormat="false" ht="15" hidden="false" customHeight="false" outlineLevel="0" collapsed="false">
      <c r="A392" s="22" t="n">
        <v>391</v>
      </c>
      <c r="B392" s="22" t="n">
        <f aca="false">INT((A392-1)/12)+1</f>
        <v>33</v>
      </c>
      <c r="C392" s="23" t="n">
        <f aca="false">IF(B392&gt;=入力!$B$14,入力!$B$15,IF(B392&gt;=入力!$B$12,入力!$B$13,入力!$B$11))</f>
        <v>0.02</v>
      </c>
      <c r="D392" s="24" t="n">
        <f aca="false">H391</f>
        <v>7133220.81047533</v>
      </c>
      <c r="E392" s="24" t="n">
        <f aca="false">-PMT(C392/12,420-A392+1,D392)</f>
        <v>243965.960681775</v>
      </c>
      <c r="F392" s="24" t="n">
        <f aca="false">D392*C392/12</f>
        <v>11888.7013507922</v>
      </c>
      <c r="G392" s="24" t="n">
        <f aca="false">E392-F392</f>
        <v>232077.259330982</v>
      </c>
      <c r="H392" s="24" t="n">
        <f aca="false">D392-G392</f>
        <v>6901143.55114434</v>
      </c>
    </row>
    <row r="393" customFormat="false" ht="15" hidden="false" customHeight="false" outlineLevel="0" collapsed="false">
      <c r="A393" s="22" t="n">
        <v>392</v>
      </c>
      <c r="B393" s="22" t="n">
        <f aca="false">INT((A393-1)/12)+1</f>
        <v>33</v>
      </c>
      <c r="C393" s="23" t="n">
        <f aca="false">IF(B393&gt;=入力!$B$14,入力!$B$15,IF(B393&gt;=入力!$B$12,入力!$B$13,入力!$B$11))</f>
        <v>0.02</v>
      </c>
      <c r="D393" s="24" t="n">
        <f aca="false">H392</f>
        <v>6901143.55114434</v>
      </c>
      <c r="E393" s="24" t="n">
        <f aca="false">-PMT(C393/12,420-A393+1,D393)</f>
        <v>243965.960681775</v>
      </c>
      <c r="F393" s="24" t="n">
        <f aca="false">D393*C393/12</f>
        <v>11501.9059185739</v>
      </c>
      <c r="G393" s="24" t="n">
        <f aca="false">E393-F393</f>
        <v>232464.054763201</v>
      </c>
      <c r="H393" s="24" t="n">
        <f aca="false">D393-G393</f>
        <v>6668679.49638114</v>
      </c>
    </row>
    <row r="394" customFormat="false" ht="15" hidden="false" customHeight="false" outlineLevel="0" collapsed="false">
      <c r="A394" s="22" t="n">
        <v>393</v>
      </c>
      <c r="B394" s="22" t="n">
        <f aca="false">INT((A394-1)/12)+1</f>
        <v>33</v>
      </c>
      <c r="C394" s="23" t="n">
        <f aca="false">IF(B394&gt;=入力!$B$14,入力!$B$15,IF(B394&gt;=入力!$B$12,入力!$B$13,入力!$B$11))</f>
        <v>0.02</v>
      </c>
      <c r="D394" s="24" t="n">
        <f aca="false">H393</f>
        <v>6668679.49638114</v>
      </c>
      <c r="E394" s="24" t="n">
        <f aca="false">-PMT(C394/12,420-A394+1,D394)</f>
        <v>243965.960681775</v>
      </c>
      <c r="F394" s="24" t="n">
        <f aca="false">D394*C394/12</f>
        <v>11114.4658273019</v>
      </c>
      <c r="G394" s="24" t="n">
        <f aca="false">E394-F394</f>
        <v>232851.494854473</v>
      </c>
      <c r="H394" s="24" t="n">
        <f aca="false">D394-G394</f>
        <v>6435828.00152667</v>
      </c>
    </row>
    <row r="395" customFormat="false" ht="15" hidden="false" customHeight="false" outlineLevel="0" collapsed="false">
      <c r="A395" s="22" t="n">
        <v>394</v>
      </c>
      <c r="B395" s="22" t="n">
        <f aca="false">INT((A395-1)/12)+1</f>
        <v>33</v>
      </c>
      <c r="C395" s="23" t="n">
        <f aca="false">IF(B395&gt;=入力!$B$14,入力!$B$15,IF(B395&gt;=入力!$B$12,入力!$B$13,入力!$B$11))</f>
        <v>0.02</v>
      </c>
      <c r="D395" s="24" t="n">
        <f aca="false">H394</f>
        <v>6435828.00152667</v>
      </c>
      <c r="E395" s="24" t="n">
        <f aca="false">-PMT(C395/12,420-A395+1,D395)</f>
        <v>243965.960681775</v>
      </c>
      <c r="F395" s="24" t="n">
        <f aca="false">D395*C395/12</f>
        <v>10726.3800025444</v>
      </c>
      <c r="G395" s="24" t="n">
        <f aca="false">E395-F395</f>
        <v>233239.58067923</v>
      </c>
      <c r="H395" s="24" t="n">
        <f aca="false">D395-G395</f>
        <v>6202588.42084744</v>
      </c>
    </row>
    <row r="396" customFormat="false" ht="15" hidden="false" customHeight="false" outlineLevel="0" collapsed="false">
      <c r="A396" s="22" t="n">
        <v>395</v>
      </c>
      <c r="B396" s="22" t="n">
        <f aca="false">INT((A396-1)/12)+1</f>
        <v>33</v>
      </c>
      <c r="C396" s="23" t="n">
        <f aca="false">IF(B396&gt;=入力!$B$14,入力!$B$15,IF(B396&gt;=入力!$B$12,入力!$B$13,入力!$B$11))</f>
        <v>0.02</v>
      </c>
      <c r="D396" s="24" t="n">
        <f aca="false">H395</f>
        <v>6202588.42084744</v>
      </c>
      <c r="E396" s="24" t="n">
        <f aca="false">-PMT(C396/12,420-A396+1,D396)</f>
        <v>243965.960681775</v>
      </c>
      <c r="F396" s="24" t="n">
        <f aca="false">D396*C396/12</f>
        <v>10337.6473680791</v>
      </c>
      <c r="G396" s="24" t="n">
        <f aca="false">E396-F396</f>
        <v>233628.313313696</v>
      </c>
      <c r="H396" s="24" t="n">
        <f aca="false">D396-G396</f>
        <v>5968960.10753374</v>
      </c>
    </row>
    <row r="397" customFormat="false" ht="15" hidden="false" customHeight="false" outlineLevel="0" collapsed="false">
      <c r="A397" s="22" t="n">
        <v>396</v>
      </c>
      <c r="B397" s="22" t="n">
        <f aca="false">INT((A397-1)/12)+1</f>
        <v>33</v>
      </c>
      <c r="C397" s="23" t="n">
        <f aca="false">IF(B397&gt;=入力!$B$14,入力!$B$15,IF(B397&gt;=入力!$B$12,入力!$B$13,入力!$B$11))</f>
        <v>0.02</v>
      </c>
      <c r="D397" s="24" t="n">
        <f aca="false">H396</f>
        <v>5968960.10753374</v>
      </c>
      <c r="E397" s="24" t="n">
        <f aca="false">-PMT(C397/12,420-A397+1,D397)</f>
        <v>243965.960681775</v>
      </c>
      <c r="F397" s="24" t="n">
        <f aca="false">D397*C397/12</f>
        <v>9948.26684588957</v>
      </c>
      <c r="G397" s="24" t="n">
        <f aca="false">E397-F397</f>
        <v>234017.693835885</v>
      </c>
      <c r="H397" s="24" t="n">
        <f aca="false">D397-G397</f>
        <v>5734942.41369786</v>
      </c>
    </row>
    <row r="398" customFormat="false" ht="15" hidden="false" customHeight="false" outlineLevel="0" collapsed="false">
      <c r="A398" s="22" t="n">
        <v>397</v>
      </c>
      <c r="B398" s="22" t="n">
        <f aca="false">INT((A398-1)/12)+1</f>
        <v>34</v>
      </c>
      <c r="C398" s="23" t="n">
        <f aca="false">IF(B398&gt;=入力!$B$14,入力!$B$15,IF(B398&gt;=入力!$B$12,入力!$B$13,入力!$B$11))</f>
        <v>0.02</v>
      </c>
      <c r="D398" s="24" t="n">
        <f aca="false">H397</f>
        <v>5734942.41369786</v>
      </c>
      <c r="E398" s="24" t="n">
        <f aca="false">-PMT(C398/12,420-A398+1,D398)</f>
        <v>243965.960681775</v>
      </c>
      <c r="F398" s="24" t="n">
        <f aca="false">D398*C398/12</f>
        <v>9558.2373561631</v>
      </c>
      <c r="G398" s="24" t="n">
        <f aca="false">E398-F398</f>
        <v>234407.723325612</v>
      </c>
      <c r="H398" s="24" t="n">
        <f aca="false">D398-G398</f>
        <v>5500534.69037225</v>
      </c>
    </row>
    <row r="399" customFormat="false" ht="15" hidden="false" customHeight="false" outlineLevel="0" collapsed="false">
      <c r="A399" s="22" t="n">
        <v>398</v>
      </c>
      <c r="B399" s="22" t="n">
        <f aca="false">INT((A399-1)/12)+1</f>
        <v>34</v>
      </c>
      <c r="C399" s="23" t="n">
        <f aca="false">IF(B399&gt;=入力!$B$14,入力!$B$15,IF(B399&gt;=入力!$B$12,入力!$B$13,入力!$B$11))</f>
        <v>0.02</v>
      </c>
      <c r="D399" s="24" t="n">
        <f aca="false">H398</f>
        <v>5500534.69037225</v>
      </c>
      <c r="E399" s="24" t="n">
        <f aca="false">-PMT(C399/12,420-A399+1,D399)</f>
        <v>243965.960681775</v>
      </c>
      <c r="F399" s="24" t="n">
        <f aca="false">D399*C399/12</f>
        <v>9167.55781728708</v>
      </c>
      <c r="G399" s="24" t="n">
        <f aca="false">E399-F399</f>
        <v>234798.402864488</v>
      </c>
      <c r="H399" s="24" t="n">
        <f aca="false">D399-G399</f>
        <v>5265736.28750776</v>
      </c>
    </row>
    <row r="400" customFormat="false" ht="15" hidden="false" customHeight="false" outlineLevel="0" collapsed="false">
      <c r="A400" s="22" t="n">
        <v>399</v>
      </c>
      <c r="B400" s="22" t="n">
        <f aca="false">INT((A400-1)/12)+1</f>
        <v>34</v>
      </c>
      <c r="C400" s="23" t="n">
        <f aca="false">IF(B400&gt;=入力!$B$14,入力!$B$15,IF(B400&gt;=入力!$B$12,入力!$B$13,入力!$B$11))</f>
        <v>0.02</v>
      </c>
      <c r="D400" s="24" t="n">
        <f aca="false">H399</f>
        <v>5265736.28750776</v>
      </c>
      <c r="E400" s="24" t="n">
        <f aca="false">-PMT(C400/12,420-A400+1,D400)</f>
        <v>243965.960681775</v>
      </c>
      <c r="F400" s="24" t="n">
        <f aca="false">D400*C400/12</f>
        <v>8776.22714584627</v>
      </c>
      <c r="G400" s="24" t="n">
        <f aca="false">E400-F400</f>
        <v>235189.733535928</v>
      </c>
      <c r="H400" s="24" t="n">
        <f aca="false">D400-G400</f>
        <v>5030546.55397183</v>
      </c>
    </row>
    <row r="401" customFormat="false" ht="15" hidden="false" customHeight="false" outlineLevel="0" collapsed="false">
      <c r="A401" s="22" t="n">
        <v>400</v>
      </c>
      <c r="B401" s="22" t="n">
        <f aca="false">INT((A401-1)/12)+1</f>
        <v>34</v>
      </c>
      <c r="C401" s="23" t="n">
        <f aca="false">IF(B401&gt;=入力!$B$14,入力!$B$15,IF(B401&gt;=入力!$B$12,入力!$B$13,入力!$B$11))</f>
        <v>0.02</v>
      </c>
      <c r="D401" s="24" t="n">
        <f aca="false">H400</f>
        <v>5030546.55397183</v>
      </c>
      <c r="E401" s="24" t="n">
        <f aca="false">-PMT(C401/12,420-A401+1,D401)</f>
        <v>243965.960681775</v>
      </c>
      <c r="F401" s="24" t="n">
        <f aca="false">D401*C401/12</f>
        <v>8384.24425661972</v>
      </c>
      <c r="G401" s="24" t="n">
        <f aca="false">E401-F401</f>
        <v>235581.716425155</v>
      </c>
      <c r="H401" s="24" t="n">
        <f aca="false">D401-G401</f>
        <v>4794964.83754668</v>
      </c>
    </row>
    <row r="402" customFormat="false" ht="15" hidden="false" customHeight="false" outlineLevel="0" collapsed="false">
      <c r="A402" s="22" t="n">
        <v>401</v>
      </c>
      <c r="B402" s="22" t="n">
        <f aca="false">INT((A402-1)/12)+1</f>
        <v>34</v>
      </c>
      <c r="C402" s="23" t="n">
        <f aca="false">IF(B402&gt;=入力!$B$14,入力!$B$15,IF(B402&gt;=入力!$B$12,入力!$B$13,入力!$B$11))</f>
        <v>0.02</v>
      </c>
      <c r="D402" s="24" t="n">
        <f aca="false">H401</f>
        <v>4794964.83754668</v>
      </c>
      <c r="E402" s="24" t="n">
        <f aca="false">-PMT(C402/12,420-A402+1,D402)</f>
        <v>243965.960681775</v>
      </c>
      <c r="F402" s="24" t="n">
        <f aca="false">D402*C402/12</f>
        <v>7991.60806257779</v>
      </c>
      <c r="G402" s="24" t="n">
        <f aca="false">E402-F402</f>
        <v>235974.352619197</v>
      </c>
      <c r="H402" s="24" t="n">
        <f aca="false">D402-G402</f>
        <v>4558990.48492748</v>
      </c>
    </row>
    <row r="403" customFormat="false" ht="15" hidden="false" customHeight="false" outlineLevel="0" collapsed="false">
      <c r="A403" s="22" t="n">
        <v>402</v>
      </c>
      <c r="B403" s="22" t="n">
        <f aca="false">INT((A403-1)/12)+1</f>
        <v>34</v>
      </c>
      <c r="C403" s="23" t="n">
        <f aca="false">IF(B403&gt;=入力!$B$14,入力!$B$15,IF(B403&gt;=入力!$B$12,入力!$B$13,入力!$B$11))</f>
        <v>0.02</v>
      </c>
      <c r="D403" s="24" t="n">
        <f aca="false">H402</f>
        <v>4558990.48492748</v>
      </c>
      <c r="E403" s="24" t="n">
        <f aca="false">-PMT(C403/12,420-A403+1,D403)</f>
        <v>243965.960681775</v>
      </c>
      <c r="F403" s="24" t="n">
        <f aca="false">D403*C403/12</f>
        <v>7598.31747487913</v>
      </c>
      <c r="G403" s="24" t="n">
        <f aca="false">E403-F403</f>
        <v>236367.643206895</v>
      </c>
      <c r="H403" s="24" t="n">
        <f aca="false">D403-G403</f>
        <v>4322622.84172058</v>
      </c>
    </row>
    <row r="404" customFormat="false" ht="15" hidden="false" customHeight="false" outlineLevel="0" collapsed="false">
      <c r="A404" s="22" t="n">
        <v>403</v>
      </c>
      <c r="B404" s="22" t="n">
        <f aca="false">INT((A404-1)/12)+1</f>
        <v>34</v>
      </c>
      <c r="C404" s="23" t="n">
        <f aca="false">IF(B404&gt;=入力!$B$14,入力!$B$15,IF(B404&gt;=入力!$B$12,入力!$B$13,入力!$B$11))</f>
        <v>0.02</v>
      </c>
      <c r="D404" s="24" t="n">
        <f aca="false">H403</f>
        <v>4322622.84172058</v>
      </c>
      <c r="E404" s="24" t="n">
        <f aca="false">-PMT(C404/12,420-A404+1,D404)</f>
        <v>243965.960681775</v>
      </c>
      <c r="F404" s="24" t="n">
        <f aca="false">D404*C404/12</f>
        <v>7204.37140286764</v>
      </c>
      <c r="G404" s="24" t="n">
        <f aca="false">E404-F404</f>
        <v>236761.589278907</v>
      </c>
      <c r="H404" s="24" t="n">
        <f aca="false">D404-G404</f>
        <v>4085861.25244168</v>
      </c>
    </row>
    <row r="405" customFormat="false" ht="15" hidden="false" customHeight="false" outlineLevel="0" collapsed="false">
      <c r="A405" s="22" t="n">
        <v>404</v>
      </c>
      <c r="B405" s="22" t="n">
        <f aca="false">INT((A405-1)/12)+1</f>
        <v>34</v>
      </c>
      <c r="C405" s="23" t="n">
        <f aca="false">IF(B405&gt;=入力!$B$14,入力!$B$15,IF(B405&gt;=入力!$B$12,入力!$B$13,入力!$B$11))</f>
        <v>0.02</v>
      </c>
      <c r="D405" s="24" t="n">
        <f aca="false">H404</f>
        <v>4085861.25244168</v>
      </c>
      <c r="E405" s="24" t="n">
        <f aca="false">-PMT(C405/12,420-A405+1,D405)</f>
        <v>243965.960681775</v>
      </c>
      <c r="F405" s="24" t="n">
        <f aca="false">D405*C405/12</f>
        <v>6809.76875406946</v>
      </c>
      <c r="G405" s="24" t="n">
        <f aca="false">E405-F405</f>
        <v>237156.191927705</v>
      </c>
      <c r="H405" s="24" t="n">
        <f aca="false">D405-G405</f>
        <v>3848705.06051397</v>
      </c>
    </row>
    <row r="406" customFormat="false" ht="15" hidden="false" customHeight="false" outlineLevel="0" collapsed="false">
      <c r="A406" s="22" t="n">
        <v>405</v>
      </c>
      <c r="B406" s="22" t="n">
        <f aca="false">INT((A406-1)/12)+1</f>
        <v>34</v>
      </c>
      <c r="C406" s="23" t="n">
        <f aca="false">IF(B406&gt;=入力!$B$14,入力!$B$15,IF(B406&gt;=入力!$B$12,入力!$B$13,入力!$B$11))</f>
        <v>0.02</v>
      </c>
      <c r="D406" s="24" t="n">
        <f aca="false">H405</f>
        <v>3848705.06051397</v>
      </c>
      <c r="E406" s="24" t="n">
        <f aca="false">-PMT(C406/12,420-A406+1,D406)</f>
        <v>243965.960681775</v>
      </c>
      <c r="F406" s="24" t="n">
        <f aca="false">D406*C406/12</f>
        <v>6414.50843418995</v>
      </c>
      <c r="G406" s="24" t="n">
        <f aca="false">E406-F406</f>
        <v>237551.452247585</v>
      </c>
      <c r="H406" s="24" t="n">
        <f aca="false">D406-G406</f>
        <v>3611153.60826639</v>
      </c>
    </row>
    <row r="407" customFormat="false" ht="15" hidden="false" customHeight="false" outlineLevel="0" collapsed="false">
      <c r="A407" s="22" t="n">
        <v>406</v>
      </c>
      <c r="B407" s="22" t="n">
        <f aca="false">INT((A407-1)/12)+1</f>
        <v>34</v>
      </c>
      <c r="C407" s="23" t="n">
        <f aca="false">IF(B407&gt;=入力!$B$14,入力!$B$15,IF(B407&gt;=入力!$B$12,入力!$B$13,入力!$B$11))</f>
        <v>0.02</v>
      </c>
      <c r="D407" s="24" t="n">
        <f aca="false">H406</f>
        <v>3611153.60826639</v>
      </c>
      <c r="E407" s="24" t="n">
        <f aca="false">-PMT(C407/12,420-A407+1,D407)</f>
        <v>243965.960681775</v>
      </c>
      <c r="F407" s="24" t="n">
        <f aca="false">D407*C407/12</f>
        <v>6018.58934711065</v>
      </c>
      <c r="G407" s="24" t="n">
        <f aca="false">E407-F407</f>
        <v>237947.371334664</v>
      </c>
      <c r="H407" s="24" t="n">
        <f aca="false">D407-G407</f>
        <v>3373206.23693172</v>
      </c>
    </row>
    <row r="408" customFormat="false" ht="15" hidden="false" customHeight="false" outlineLevel="0" collapsed="false">
      <c r="A408" s="22" t="n">
        <v>407</v>
      </c>
      <c r="B408" s="22" t="n">
        <f aca="false">INT((A408-1)/12)+1</f>
        <v>34</v>
      </c>
      <c r="C408" s="23" t="n">
        <f aca="false">IF(B408&gt;=入力!$B$14,入力!$B$15,IF(B408&gt;=入力!$B$12,入力!$B$13,入力!$B$11))</f>
        <v>0.02</v>
      </c>
      <c r="D408" s="24" t="n">
        <f aca="false">H407</f>
        <v>3373206.23693172</v>
      </c>
      <c r="E408" s="24" t="n">
        <f aca="false">-PMT(C408/12,420-A408+1,D408)</f>
        <v>243965.960681775</v>
      </c>
      <c r="F408" s="24" t="n">
        <f aca="false">D408*C408/12</f>
        <v>5622.01039488621</v>
      </c>
      <c r="G408" s="24" t="n">
        <f aca="false">E408-F408</f>
        <v>238343.950286888</v>
      </c>
      <c r="H408" s="24" t="n">
        <f aca="false">D408-G408</f>
        <v>3134862.28664483</v>
      </c>
    </row>
    <row r="409" customFormat="false" ht="15" hidden="false" customHeight="false" outlineLevel="0" collapsed="false">
      <c r="A409" s="22" t="n">
        <v>408</v>
      </c>
      <c r="B409" s="22" t="n">
        <f aca="false">INT((A409-1)/12)+1</f>
        <v>34</v>
      </c>
      <c r="C409" s="23" t="n">
        <f aca="false">IF(B409&gt;=入力!$B$14,入力!$B$15,IF(B409&gt;=入力!$B$12,入力!$B$13,入力!$B$11))</f>
        <v>0.02</v>
      </c>
      <c r="D409" s="24" t="n">
        <f aca="false">H408</f>
        <v>3134862.28664483</v>
      </c>
      <c r="E409" s="24" t="n">
        <f aca="false">-PMT(C409/12,420-A409+1,D409)</f>
        <v>243965.960681775</v>
      </c>
      <c r="F409" s="24" t="n">
        <f aca="false">D409*C409/12</f>
        <v>5224.77047774139</v>
      </c>
      <c r="G409" s="24" t="n">
        <f aca="false">E409-F409</f>
        <v>238741.190204033</v>
      </c>
      <c r="H409" s="24" t="n">
        <f aca="false">D409-G409</f>
        <v>2896121.0964408</v>
      </c>
    </row>
    <row r="410" customFormat="false" ht="15" hidden="false" customHeight="false" outlineLevel="0" collapsed="false">
      <c r="A410" s="22" t="n">
        <v>409</v>
      </c>
      <c r="B410" s="22" t="n">
        <f aca="false">INT((A410-1)/12)+1</f>
        <v>35</v>
      </c>
      <c r="C410" s="23" t="n">
        <f aca="false">IF(B410&gt;=入力!$B$14,入力!$B$15,IF(B410&gt;=入力!$B$12,入力!$B$13,入力!$B$11))</f>
        <v>0.02</v>
      </c>
      <c r="D410" s="24" t="n">
        <f aca="false">H409</f>
        <v>2896121.0964408</v>
      </c>
      <c r="E410" s="24" t="n">
        <f aca="false">-PMT(C410/12,420-A410+1,D410)</f>
        <v>243965.960681775</v>
      </c>
      <c r="F410" s="24" t="n">
        <f aca="false">D410*C410/12</f>
        <v>4826.868494068</v>
      </c>
      <c r="G410" s="24" t="n">
        <f aca="false">E410-F410</f>
        <v>239139.092187707</v>
      </c>
      <c r="H410" s="24" t="n">
        <f aca="false">D410-G410</f>
        <v>2656982.0042531</v>
      </c>
    </row>
    <row r="411" customFormat="false" ht="15" hidden="false" customHeight="false" outlineLevel="0" collapsed="false">
      <c r="A411" s="22" t="n">
        <v>410</v>
      </c>
      <c r="B411" s="22" t="n">
        <f aca="false">INT((A411-1)/12)+1</f>
        <v>35</v>
      </c>
      <c r="C411" s="23" t="n">
        <f aca="false">IF(B411&gt;=入力!$B$14,入力!$B$15,IF(B411&gt;=入力!$B$12,入力!$B$13,入力!$B$11))</f>
        <v>0.02</v>
      </c>
      <c r="D411" s="24" t="n">
        <f aca="false">H410</f>
        <v>2656982.0042531</v>
      </c>
      <c r="E411" s="24" t="n">
        <f aca="false">-PMT(C411/12,420-A411+1,D411)</f>
        <v>243965.960681775</v>
      </c>
      <c r="F411" s="24" t="n">
        <f aca="false">D411*C411/12</f>
        <v>4428.30334042183</v>
      </c>
      <c r="G411" s="24" t="n">
        <f aca="false">E411-F411</f>
        <v>239537.657341353</v>
      </c>
      <c r="H411" s="24" t="n">
        <f aca="false">D411-G411</f>
        <v>2417444.34691174</v>
      </c>
    </row>
    <row r="412" customFormat="false" ht="15" hidden="false" customHeight="false" outlineLevel="0" collapsed="false">
      <c r="A412" s="22" t="n">
        <v>411</v>
      </c>
      <c r="B412" s="22" t="n">
        <f aca="false">INT((A412-1)/12)+1</f>
        <v>35</v>
      </c>
      <c r="C412" s="23" t="n">
        <f aca="false">IF(B412&gt;=入力!$B$14,入力!$B$15,IF(B412&gt;=入力!$B$12,入力!$B$13,入力!$B$11))</f>
        <v>0.02</v>
      </c>
      <c r="D412" s="24" t="n">
        <f aca="false">H411</f>
        <v>2417444.34691174</v>
      </c>
      <c r="E412" s="24" t="n">
        <f aca="false">-PMT(C412/12,420-A412+1,D412)</f>
        <v>243965.960681775</v>
      </c>
      <c r="F412" s="24" t="n">
        <f aca="false">D412*C412/12</f>
        <v>4029.07391151957</v>
      </c>
      <c r="G412" s="24" t="n">
        <f aca="false">E412-F412</f>
        <v>239936.886770255</v>
      </c>
      <c r="H412" s="24" t="n">
        <f aca="false">D412-G412</f>
        <v>2177507.46014149</v>
      </c>
    </row>
    <row r="413" customFormat="false" ht="15" hidden="false" customHeight="false" outlineLevel="0" collapsed="false">
      <c r="A413" s="22" t="n">
        <v>412</v>
      </c>
      <c r="B413" s="22" t="n">
        <f aca="false">INT((A413-1)/12)+1</f>
        <v>35</v>
      </c>
      <c r="C413" s="23" t="n">
        <f aca="false">IF(B413&gt;=入力!$B$14,入力!$B$15,IF(B413&gt;=入力!$B$12,入力!$B$13,入力!$B$11))</f>
        <v>0.02</v>
      </c>
      <c r="D413" s="24" t="n">
        <f aca="false">H412</f>
        <v>2177507.46014149</v>
      </c>
      <c r="E413" s="24" t="n">
        <f aca="false">-PMT(C413/12,420-A413+1,D413)</f>
        <v>243965.960681775</v>
      </c>
      <c r="F413" s="24" t="n">
        <f aca="false">D413*C413/12</f>
        <v>3629.17910023581</v>
      </c>
      <c r="G413" s="24" t="n">
        <f aca="false">E413-F413</f>
        <v>240336.781581539</v>
      </c>
      <c r="H413" s="24" t="n">
        <f aca="false">D413-G413</f>
        <v>1937170.67855995</v>
      </c>
    </row>
    <row r="414" customFormat="false" ht="15" hidden="false" customHeight="false" outlineLevel="0" collapsed="false">
      <c r="A414" s="22" t="n">
        <v>413</v>
      </c>
      <c r="B414" s="22" t="n">
        <f aca="false">INT((A414-1)/12)+1</f>
        <v>35</v>
      </c>
      <c r="C414" s="23" t="n">
        <f aca="false">IF(B414&gt;=入力!$B$14,入力!$B$15,IF(B414&gt;=入力!$B$12,入力!$B$13,入力!$B$11))</f>
        <v>0.02</v>
      </c>
      <c r="D414" s="24" t="n">
        <f aca="false">H413</f>
        <v>1937170.67855995</v>
      </c>
      <c r="E414" s="24" t="n">
        <f aca="false">-PMT(C414/12,420-A414+1,D414)</f>
        <v>243965.960681775</v>
      </c>
      <c r="F414" s="24" t="n">
        <f aca="false">D414*C414/12</f>
        <v>3228.61779759991</v>
      </c>
      <c r="G414" s="24" t="n">
        <f aca="false">E414-F414</f>
        <v>240737.342884175</v>
      </c>
      <c r="H414" s="24" t="n">
        <f aca="false">D414-G414</f>
        <v>1696433.33567577</v>
      </c>
    </row>
    <row r="415" customFormat="false" ht="15" hidden="false" customHeight="false" outlineLevel="0" collapsed="false">
      <c r="A415" s="22" t="n">
        <v>414</v>
      </c>
      <c r="B415" s="22" t="n">
        <f aca="false">INT((A415-1)/12)+1</f>
        <v>35</v>
      </c>
      <c r="C415" s="23" t="n">
        <f aca="false">IF(B415&gt;=入力!$B$14,入力!$B$15,IF(B415&gt;=入力!$B$12,入力!$B$13,入力!$B$11))</f>
        <v>0.02</v>
      </c>
      <c r="D415" s="24" t="n">
        <f aca="false">H414</f>
        <v>1696433.33567577</v>
      </c>
      <c r="E415" s="24" t="n">
        <f aca="false">-PMT(C415/12,420-A415+1,D415)</f>
        <v>243965.960681775</v>
      </c>
      <c r="F415" s="24" t="n">
        <f aca="false">D415*C415/12</f>
        <v>2827.38889279296</v>
      </c>
      <c r="G415" s="24" t="n">
        <f aca="false">E415-F415</f>
        <v>241138.571788982</v>
      </c>
      <c r="H415" s="24" t="n">
        <f aca="false">D415-G415</f>
        <v>1455294.76388679</v>
      </c>
    </row>
    <row r="416" customFormat="false" ht="15" hidden="false" customHeight="false" outlineLevel="0" collapsed="false">
      <c r="A416" s="22" t="n">
        <v>415</v>
      </c>
      <c r="B416" s="22" t="n">
        <f aca="false">INT((A416-1)/12)+1</f>
        <v>35</v>
      </c>
      <c r="C416" s="23" t="n">
        <f aca="false">IF(B416&gt;=入力!$B$14,入力!$B$15,IF(B416&gt;=入力!$B$12,入力!$B$13,入力!$B$11))</f>
        <v>0.02</v>
      </c>
      <c r="D416" s="24" t="n">
        <f aca="false">H415</f>
        <v>1455294.76388679</v>
      </c>
      <c r="E416" s="24" t="n">
        <f aca="false">-PMT(C416/12,420-A416+1,D416)</f>
        <v>243965.960681775</v>
      </c>
      <c r="F416" s="24" t="n">
        <f aca="false">D416*C416/12</f>
        <v>2425.49127314465</v>
      </c>
      <c r="G416" s="24" t="n">
        <f aca="false">E416-F416</f>
        <v>241540.46940863</v>
      </c>
      <c r="H416" s="24" t="n">
        <f aca="false">D416-G416</f>
        <v>1213754.29447816</v>
      </c>
    </row>
    <row r="417" customFormat="false" ht="15" hidden="false" customHeight="false" outlineLevel="0" collapsed="false">
      <c r="A417" s="22" t="n">
        <v>416</v>
      </c>
      <c r="B417" s="22" t="n">
        <f aca="false">INT((A417-1)/12)+1</f>
        <v>35</v>
      </c>
      <c r="C417" s="23" t="n">
        <f aca="false">IF(B417&gt;=入力!$B$14,入力!$B$15,IF(B417&gt;=入力!$B$12,入力!$B$13,入力!$B$11))</f>
        <v>0.02</v>
      </c>
      <c r="D417" s="24" t="n">
        <f aca="false">H416</f>
        <v>1213754.29447816</v>
      </c>
      <c r="E417" s="24" t="n">
        <f aca="false">-PMT(C417/12,420-A417+1,D417)</f>
        <v>243965.960681775</v>
      </c>
      <c r="F417" s="24" t="n">
        <f aca="false">D417*C417/12</f>
        <v>2022.92382413027</v>
      </c>
      <c r="G417" s="24" t="n">
        <f aca="false">E417-F417</f>
        <v>241943.036857644</v>
      </c>
      <c r="H417" s="24" t="n">
        <f aca="false">D417-G417</f>
        <v>971811.257620518</v>
      </c>
    </row>
    <row r="418" customFormat="false" ht="15" hidden="false" customHeight="false" outlineLevel="0" collapsed="false">
      <c r="A418" s="22" t="n">
        <v>417</v>
      </c>
      <c r="B418" s="22" t="n">
        <f aca="false">INT((A418-1)/12)+1</f>
        <v>35</v>
      </c>
      <c r="C418" s="23" t="n">
        <f aca="false">IF(B418&gt;=入力!$B$14,入力!$B$15,IF(B418&gt;=入力!$B$12,入力!$B$13,入力!$B$11))</f>
        <v>0.02</v>
      </c>
      <c r="D418" s="24" t="n">
        <f aca="false">H417</f>
        <v>971811.257620518</v>
      </c>
      <c r="E418" s="24" t="n">
        <f aca="false">-PMT(C418/12,420-A418+1,D418)</f>
        <v>243965.960681775</v>
      </c>
      <c r="F418" s="24" t="n">
        <f aca="false">D418*C418/12</f>
        <v>1619.68542936753</v>
      </c>
      <c r="G418" s="24" t="n">
        <f aca="false">E418-F418</f>
        <v>242346.275252407</v>
      </c>
      <c r="H418" s="24" t="n">
        <f aca="false">D418-G418</f>
        <v>729464.982368111</v>
      </c>
    </row>
    <row r="419" customFormat="false" ht="15" hidden="false" customHeight="false" outlineLevel="0" collapsed="false">
      <c r="A419" s="22" t="n">
        <v>418</v>
      </c>
      <c r="B419" s="22" t="n">
        <f aca="false">INT((A419-1)/12)+1</f>
        <v>35</v>
      </c>
      <c r="C419" s="23" t="n">
        <f aca="false">IF(B419&gt;=入力!$B$14,入力!$B$15,IF(B419&gt;=入力!$B$12,入力!$B$13,入力!$B$11))</f>
        <v>0.02</v>
      </c>
      <c r="D419" s="24" t="n">
        <f aca="false">H418</f>
        <v>729464.982368111</v>
      </c>
      <c r="E419" s="24" t="n">
        <f aca="false">-PMT(C419/12,420-A419+1,D419)</f>
        <v>243965.960681775</v>
      </c>
      <c r="F419" s="24" t="n">
        <f aca="false">D419*C419/12</f>
        <v>1215.77497061352</v>
      </c>
      <c r="G419" s="24" t="n">
        <f aca="false">E419-F419</f>
        <v>242750.185711161</v>
      </c>
      <c r="H419" s="24" t="n">
        <f aca="false">D419-G419</f>
        <v>486714.79665695</v>
      </c>
    </row>
    <row r="420" customFormat="false" ht="15" hidden="false" customHeight="false" outlineLevel="0" collapsed="false">
      <c r="A420" s="22" t="n">
        <v>419</v>
      </c>
      <c r="B420" s="22" t="n">
        <f aca="false">INT((A420-1)/12)+1</f>
        <v>35</v>
      </c>
      <c r="C420" s="23" t="n">
        <f aca="false">IF(B420&gt;=入力!$B$14,入力!$B$15,IF(B420&gt;=入力!$B$12,入力!$B$13,入力!$B$11))</f>
        <v>0.02</v>
      </c>
      <c r="D420" s="24" t="n">
        <f aca="false">H419</f>
        <v>486714.79665695</v>
      </c>
      <c r="E420" s="24" t="n">
        <f aca="false">-PMT(C420/12,420-A420+1,D420)</f>
        <v>243965.960681775</v>
      </c>
      <c r="F420" s="24" t="n">
        <f aca="false">D420*C420/12</f>
        <v>811.191327761583</v>
      </c>
      <c r="G420" s="24" t="n">
        <f aca="false">E420-F420</f>
        <v>243154.769354013</v>
      </c>
      <c r="H420" s="24" t="n">
        <f aca="false">D420-G420</f>
        <v>243560.027302936</v>
      </c>
    </row>
    <row r="421" customFormat="false" ht="15" hidden="false" customHeight="false" outlineLevel="0" collapsed="false">
      <c r="A421" s="22" t="n">
        <v>420</v>
      </c>
      <c r="B421" s="22" t="n">
        <f aca="false">INT((A421-1)/12)+1</f>
        <v>35</v>
      </c>
      <c r="C421" s="23" t="n">
        <f aca="false">IF(B421&gt;=入力!$B$14,入力!$B$15,IF(B421&gt;=入力!$B$12,入力!$B$13,入力!$B$11))</f>
        <v>0.02</v>
      </c>
      <c r="D421" s="24" t="n">
        <f aca="false">H420</f>
        <v>243560.027302936</v>
      </c>
      <c r="E421" s="24" t="n">
        <f aca="false">-PMT(C421/12,420-A421+1,D421)</f>
        <v>243965.960681775</v>
      </c>
      <c r="F421" s="24" t="n">
        <f aca="false">D421*C421/12</f>
        <v>405.933378838227</v>
      </c>
      <c r="G421" s="24" t="n">
        <f aca="false">E421-F421</f>
        <v>243560.027302936</v>
      </c>
      <c r="H421" s="24" t="n">
        <f aca="false">D421-G421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1" min="1" style="0" width="13"/>
  </cols>
  <sheetData>
    <row r="1" customFormat="false" ht="30" hidden="false" customHeight="true" outlineLevel="0" collapsed="false">
      <c r="A1" s="25" t="s">
        <v>90</v>
      </c>
      <c r="B1" s="25" t="s">
        <v>98</v>
      </c>
      <c r="C1" s="25" t="s">
        <v>99</v>
      </c>
      <c r="D1" s="25" t="s">
        <v>100</v>
      </c>
      <c r="E1" s="25" t="s">
        <v>101</v>
      </c>
      <c r="F1" s="25" t="s">
        <v>94</v>
      </c>
      <c r="G1" s="25" t="s">
        <v>102</v>
      </c>
      <c r="H1" s="25" t="s">
        <v>103</v>
      </c>
      <c r="I1" s="25" t="s">
        <v>104</v>
      </c>
      <c r="J1" s="25" t="s">
        <v>105</v>
      </c>
      <c r="K1" s="25" t="s">
        <v>106</v>
      </c>
      <c r="L1" s="25" t="s">
        <v>107</v>
      </c>
      <c r="M1" s="25" t="s">
        <v>108</v>
      </c>
      <c r="N1" s="25" t="s">
        <v>109</v>
      </c>
      <c r="O1" s="26" t="s">
        <v>110</v>
      </c>
      <c r="P1" s="25" t="s">
        <v>111</v>
      </c>
      <c r="Q1" s="25" t="s">
        <v>112</v>
      </c>
      <c r="R1" s="25" t="s">
        <v>113</v>
      </c>
      <c r="S1" s="25" t="s">
        <v>114</v>
      </c>
      <c r="T1" s="25" t="s">
        <v>115</v>
      </c>
      <c r="U1" s="25" t="s">
        <v>116</v>
      </c>
    </row>
    <row r="2" customFormat="false" ht="15" hidden="false" customHeight="false" outlineLevel="0" collapsed="false">
      <c r="A2" s="22" t="n">
        <v>1</v>
      </c>
      <c r="B2" s="22" t="n">
        <f aca="false">入力!$B$8+A2-1</f>
        <v>2026</v>
      </c>
      <c r="C2" s="27" t="n">
        <f aca="false">入力!$B$38*(1+入力!$B$39)^(A2-1)</f>
        <v>11000000</v>
      </c>
      <c r="D2" s="24" t="n">
        <f aca="false">C2*入力!$B$40</f>
        <v>8250000</v>
      </c>
      <c r="E2" s="24" t="n">
        <f aca="false">SUMIF(月次返済!$B$2:$B$421,A2,月次返済!$E$2:$E$421)</f>
        <v>2574445.57430257</v>
      </c>
      <c r="F2" s="24" t="n">
        <f aca="false">SUMIF(月次返済!$B$2:$B$421,A2,月次返済!$F$2:$F$421)</f>
        <v>751660.647166156</v>
      </c>
      <c r="G2" s="24" t="n">
        <f aca="false">INDEX(月次返済!$H$2:$H$421,A2*12)</f>
        <v>74177215.0728636</v>
      </c>
      <c r="H2" s="24" t="n">
        <f aca="false">IF(A2&lt;=入力!$B$34,MIN(G2,入力!$B$35)*入力!$B$33,0)</f>
        <v>245000</v>
      </c>
      <c r="I2" s="24" t="n">
        <f aca="false">MAX(0,C2-MIN(1950000,MAX(550000,IF(C2&lt;=1800000,C2*0.4-100000,IF(C2&lt;=3600000,C2*0.3+80000,IF(C2&lt;=6600000,C2*0.2+440000,IF(C2&lt;=8500000,C2*0.1+1100000,1950000))))))-C2*0.145-480000)</f>
        <v>6975000</v>
      </c>
      <c r="J2" s="24" t="n">
        <f aca="false">IF(I2&lt;=1950000,I2*0.05,IF(I2&lt;=3300000,I2*0.1-97500,IF(I2&lt;=6950000,I2*0.2-427500,IF(I2&lt;=9000000,I2*0.23-636000,IF(I2&lt;=18000000,I2*0.33-1536000,I2*0.4-2796000)))))</f>
        <v>968250</v>
      </c>
      <c r="K2" s="24" t="n">
        <f aca="false">J2+MIN(97500,I2*0.05)</f>
        <v>1065750</v>
      </c>
      <c r="L2" s="24" t="n">
        <f aca="false">MIN(H2,K2)</f>
        <v>245000</v>
      </c>
      <c r="M2" s="24" t="n">
        <f aca="false">12*入力!$B$18*(1+入力!$B$19)^(A2-1)</f>
        <v>342000</v>
      </c>
      <c r="N2" s="24" t="n">
        <f aca="false">12*IF(A2&gt;=入力!$B$23,入力!$C$23,IF(A2&gt;=入力!$B$22,入力!$C$22,IF(A2&gt;=入力!$B$21,入力!$C$21,入力!$B$20)))</f>
        <v>199200</v>
      </c>
      <c r="O2" s="24" t="n">
        <f aca="false">12*(入力!$B$24+入力!$B$25)</f>
        <v>17160</v>
      </c>
      <c r="P2" s="24" t="n">
        <f aca="false">IF(A2&lt;=入力!$B$30,入力!$B$28,入力!$B$29)</f>
        <v>220000</v>
      </c>
      <c r="Q2" s="24" t="n">
        <f aca="false">E2+M2+N2+O2+P2-L2</f>
        <v>3107805.57430257</v>
      </c>
      <c r="R2" s="24" t="n">
        <f aca="false">Q2/12</f>
        <v>258983.797858548</v>
      </c>
      <c r="S2" s="28" t="n">
        <f aca="false">IF(C2=0,0,E2/C2)</f>
        <v>0.234040506754779</v>
      </c>
      <c r="T2" s="28" t="n">
        <f aca="false">IF(D2=0,0,Q2/D2)</f>
        <v>0.376703705976069</v>
      </c>
      <c r="U2" s="24" t="n">
        <f aca="false">SUM($Q$2:Q2)</f>
        <v>3107805.57430257</v>
      </c>
    </row>
    <row r="3" customFormat="false" ht="15" hidden="false" customHeight="false" outlineLevel="0" collapsed="false">
      <c r="A3" s="22" t="n">
        <v>2</v>
      </c>
      <c r="B3" s="22" t="n">
        <f aca="false">入力!$B$8+A3-1</f>
        <v>2027</v>
      </c>
      <c r="C3" s="27" t="n">
        <f aca="false">入力!$B$38*(1+入力!$B$39)^(A3-1)</f>
        <v>11110000</v>
      </c>
      <c r="D3" s="24" t="n">
        <f aca="false">C3*入力!$B$40</f>
        <v>8332500</v>
      </c>
      <c r="E3" s="24" t="n">
        <f aca="false">SUMIF(月次返済!$B$2:$B$421,A3,月次返済!$E$2:$E$421)</f>
        <v>2574445.57430257</v>
      </c>
      <c r="F3" s="24" t="n">
        <f aca="false">SUMIF(月次返済!$B$2:$B$421,A3,月次返済!$F$2:$F$421)</f>
        <v>733349.021082399</v>
      </c>
      <c r="G3" s="24" t="n">
        <f aca="false">INDEX(月次返済!$H$2:$H$421,A3*12)</f>
        <v>72336118.5196434</v>
      </c>
      <c r="H3" s="24" t="n">
        <f aca="false">IF(A3&lt;=入力!$B$34,MIN(G3,入力!$B$35)*入力!$B$33,0)</f>
        <v>245000</v>
      </c>
      <c r="I3" s="24" t="n">
        <f aca="false">MAX(0,C3-MIN(1950000,MAX(550000,IF(C3&lt;=1800000,C3*0.4-100000,IF(C3&lt;=3600000,C3*0.3+80000,IF(C3&lt;=6600000,C3*0.2+440000,IF(C3&lt;=8500000,C3*0.1+1100000,1950000))))))-C3*0.145-480000)</f>
        <v>7069050</v>
      </c>
      <c r="J3" s="24" t="n">
        <f aca="false">IF(I3&lt;=1950000,I3*0.05,IF(I3&lt;=3300000,I3*0.1-97500,IF(I3&lt;=6950000,I3*0.2-427500,IF(I3&lt;=9000000,I3*0.23-636000,IF(I3&lt;=18000000,I3*0.33-1536000,I3*0.4-2796000)))))</f>
        <v>989881.5</v>
      </c>
      <c r="K3" s="24" t="n">
        <f aca="false">J3+MIN(97500,I3*0.05)</f>
        <v>1087381.5</v>
      </c>
      <c r="L3" s="24" t="n">
        <f aca="false">MIN(H3,K3)</f>
        <v>245000</v>
      </c>
      <c r="M3" s="24" t="n">
        <f aca="false">12*入力!$B$18*(1+入力!$B$19)^(A3-1)</f>
        <v>342000</v>
      </c>
      <c r="N3" s="24" t="n">
        <f aca="false">12*IF(A3&gt;=入力!$B$23,入力!$C$23,IF(A3&gt;=入力!$B$22,入力!$C$22,IF(A3&gt;=入力!$B$21,入力!$C$21,入力!$B$20)))</f>
        <v>199200</v>
      </c>
      <c r="O3" s="24" t="n">
        <f aca="false">12*(入力!$B$24+入力!$B$25)</f>
        <v>17160</v>
      </c>
      <c r="P3" s="24" t="n">
        <f aca="false">IF(A3&lt;=入力!$B$30,入力!$B$28,入力!$B$29)</f>
        <v>220000</v>
      </c>
      <c r="Q3" s="24" t="n">
        <f aca="false">E3+M3+N3+O3+P3-L3</f>
        <v>3107805.57430257</v>
      </c>
      <c r="R3" s="24" t="n">
        <f aca="false">Q3/12</f>
        <v>258983.797858548</v>
      </c>
      <c r="S3" s="28" t="n">
        <f aca="false">IF(C3=0,0,E3/C3)</f>
        <v>0.231723274014633</v>
      </c>
      <c r="T3" s="28" t="n">
        <f aca="false">IF(D3=0,0,Q3/D3)</f>
        <v>0.37297396631294</v>
      </c>
      <c r="U3" s="24" t="n">
        <f aca="false">SUM($Q$2:Q3)</f>
        <v>6215611.14860515</v>
      </c>
    </row>
    <row r="4" customFormat="false" ht="15" hidden="false" customHeight="false" outlineLevel="0" collapsed="false">
      <c r="A4" s="22" t="n">
        <v>3</v>
      </c>
      <c r="B4" s="22" t="n">
        <f aca="false">入力!$B$8+A4-1</f>
        <v>2028</v>
      </c>
      <c r="C4" s="27" t="n">
        <f aca="false">入力!$B$38*(1+入力!$B$39)^(A4-1)</f>
        <v>11221100</v>
      </c>
      <c r="D4" s="24" t="n">
        <f aca="false">C4*入力!$B$40</f>
        <v>8415825</v>
      </c>
      <c r="E4" s="24" t="n">
        <f aca="false">SUMIF(月次返済!$B$2:$B$421,A4,月次返済!$E$2:$E$421)</f>
        <v>2574445.57430257</v>
      </c>
      <c r="F4" s="24" t="n">
        <f aca="false">SUMIF(月次返済!$B$2:$B$421,A4,月次返済!$F$2:$F$421)</f>
        <v>714853.437119223</v>
      </c>
      <c r="G4" s="24" t="n">
        <f aca="false">INDEX(月次返済!$H$2:$H$421,A4*12)</f>
        <v>70476526.3824601</v>
      </c>
      <c r="H4" s="24" t="n">
        <f aca="false">IF(A4&lt;=入力!$B$34,MIN(G4,入力!$B$35)*入力!$B$33,0)</f>
        <v>245000</v>
      </c>
      <c r="I4" s="24" t="n">
        <f aca="false">MAX(0,C4-MIN(1950000,MAX(550000,IF(C4&lt;=1800000,C4*0.4-100000,IF(C4&lt;=3600000,C4*0.3+80000,IF(C4&lt;=6600000,C4*0.2+440000,IF(C4&lt;=8500000,C4*0.1+1100000,1950000))))))-C4*0.145-480000)</f>
        <v>7164040.5</v>
      </c>
      <c r="J4" s="24" t="n">
        <f aca="false">IF(I4&lt;=1950000,I4*0.05,IF(I4&lt;=3300000,I4*0.1-97500,IF(I4&lt;=6950000,I4*0.2-427500,IF(I4&lt;=9000000,I4*0.23-636000,IF(I4&lt;=18000000,I4*0.33-1536000,I4*0.4-2796000)))))</f>
        <v>1011729.315</v>
      </c>
      <c r="K4" s="24" t="n">
        <f aca="false">J4+MIN(97500,I4*0.05)</f>
        <v>1109229.315</v>
      </c>
      <c r="L4" s="24" t="n">
        <f aca="false">MIN(H4,K4)</f>
        <v>245000</v>
      </c>
      <c r="M4" s="24" t="n">
        <f aca="false">12*入力!$B$18*(1+入力!$B$19)^(A4-1)</f>
        <v>342000</v>
      </c>
      <c r="N4" s="24" t="n">
        <f aca="false">12*IF(A4&gt;=入力!$B$23,入力!$C$23,IF(A4&gt;=入力!$B$22,入力!$C$22,IF(A4&gt;=入力!$B$21,入力!$C$21,入力!$B$20)))</f>
        <v>199200</v>
      </c>
      <c r="O4" s="24" t="n">
        <f aca="false">12*(入力!$B$24+入力!$B$25)</f>
        <v>17160</v>
      </c>
      <c r="P4" s="24" t="n">
        <f aca="false">IF(A4&lt;=入力!$B$30,入力!$B$28,入力!$B$29)</f>
        <v>220000</v>
      </c>
      <c r="Q4" s="24" t="n">
        <f aca="false">E4+M4+N4+O4+P4-L4</f>
        <v>3107805.57430257</v>
      </c>
      <c r="R4" s="24" t="n">
        <f aca="false">Q4/12</f>
        <v>258983.797858548</v>
      </c>
      <c r="S4" s="28" t="n">
        <f aca="false">IF(C4=0,0,E4/C4)</f>
        <v>0.229428984172904</v>
      </c>
      <c r="T4" s="28" t="n">
        <f aca="false">IF(D4=0,0,Q4/D4)</f>
        <v>0.369281154765287</v>
      </c>
      <c r="U4" s="24" t="n">
        <f aca="false">SUM($Q$2:Q4)</f>
        <v>9323416.72290772</v>
      </c>
    </row>
    <row r="5" customFormat="false" ht="15" hidden="false" customHeight="false" outlineLevel="0" collapsed="false">
      <c r="A5" s="22" t="n">
        <v>4</v>
      </c>
      <c r="B5" s="22" t="n">
        <f aca="false">入力!$B$8+A5-1</f>
        <v>2029</v>
      </c>
      <c r="C5" s="27" t="n">
        <f aca="false">入力!$B$38*(1+入力!$B$39)^(A5-1)</f>
        <v>11333311</v>
      </c>
      <c r="D5" s="24" t="n">
        <f aca="false">C5*入力!$B$40</f>
        <v>8499983.25</v>
      </c>
      <c r="E5" s="24" t="n">
        <f aca="false">SUMIF(月次返済!$B$2:$B$421,A5,月次返済!$E$2:$E$421)</f>
        <v>2574445.57430257</v>
      </c>
      <c r="F5" s="24" t="n">
        <f aca="false">SUMIF(月次返済!$B$2:$B$421,A5,月次返済!$F$2:$F$421)</f>
        <v>696172.047242968</v>
      </c>
      <c r="G5" s="24" t="n">
        <f aca="false">INDEX(月次返済!$H$2:$H$421,A5*12)</f>
        <v>68598252.8554004</v>
      </c>
      <c r="H5" s="24" t="n">
        <f aca="false">IF(A5&lt;=入力!$B$34,MIN(G5,入力!$B$35)*入力!$B$33,0)</f>
        <v>245000</v>
      </c>
      <c r="I5" s="24" t="n">
        <f aca="false">MAX(0,C5-MIN(1950000,MAX(550000,IF(C5&lt;=1800000,C5*0.4-100000,IF(C5&lt;=3600000,C5*0.3+80000,IF(C5&lt;=6600000,C5*0.2+440000,IF(C5&lt;=8500000,C5*0.1+1100000,1950000))))))-C5*0.145-480000)</f>
        <v>7259980.905</v>
      </c>
      <c r="J5" s="24" t="n">
        <f aca="false">IF(I5&lt;=1950000,I5*0.05,IF(I5&lt;=3300000,I5*0.1-97500,IF(I5&lt;=6950000,I5*0.2-427500,IF(I5&lt;=9000000,I5*0.23-636000,IF(I5&lt;=18000000,I5*0.33-1536000,I5*0.4-2796000)))))</f>
        <v>1033795.60815</v>
      </c>
      <c r="K5" s="24" t="n">
        <f aca="false">J5+MIN(97500,I5*0.05)</f>
        <v>1131295.60815</v>
      </c>
      <c r="L5" s="24" t="n">
        <f aca="false">MIN(H5,K5)</f>
        <v>245000</v>
      </c>
      <c r="M5" s="24" t="n">
        <f aca="false">12*入力!$B$18*(1+入力!$B$19)^(A5-1)</f>
        <v>342000</v>
      </c>
      <c r="N5" s="24" t="n">
        <f aca="false">12*IF(A5&gt;=入力!$B$23,入力!$C$23,IF(A5&gt;=入力!$B$22,入力!$C$22,IF(A5&gt;=入力!$B$21,入力!$C$21,入力!$B$20)))</f>
        <v>199200</v>
      </c>
      <c r="O5" s="24" t="n">
        <f aca="false">12*(入力!$B$24+入力!$B$25)</f>
        <v>17160</v>
      </c>
      <c r="P5" s="24" t="n">
        <f aca="false">IF(A5&lt;=入力!$B$30,入力!$B$28,入力!$B$29)</f>
        <v>220000</v>
      </c>
      <c r="Q5" s="24" t="n">
        <f aca="false">E5+M5+N5+O5+P5-L5</f>
        <v>3107805.57430257</v>
      </c>
      <c r="R5" s="24" t="n">
        <f aca="false">Q5/12</f>
        <v>258983.797858548</v>
      </c>
      <c r="S5" s="28" t="n">
        <f aca="false">IF(C5=0,0,E5/C5)</f>
        <v>0.227157410072182</v>
      </c>
      <c r="T5" s="28" t="n">
        <f aca="false">IF(D5=0,0,Q5/D5)</f>
        <v>0.365624905708205</v>
      </c>
      <c r="U5" s="24" t="n">
        <f aca="false">SUM($Q$2:Q5)</f>
        <v>12431222.2972103</v>
      </c>
    </row>
    <row r="6" customFormat="false" ht="15" hidden="false" customHeight="false" outlineLevel="0" collapsed="false">
      <c r="A6" s="22" t="n">
        <v>5</v>
      </c>
      <c r="B6" s="22" t="n">
        <f aca="false">入力!$B$8+A6-1</f>
        <v>2030</v>
      </c>
      <c r="C6" s="27" t="n">
        <f aca="false">入力!$B$38*(1+入力!$B$39)^(A6-1)</f>
        <v>11446644.11</v>
      </c>
      <c r="D6" s="24" t="n">
        <f aca="false">C6*入力!$B$40</f>
        <v>8584983.0825</v>
      </c>
      <c r="E6" s="24" t="n">
        <f aca="false">SUMIF(月次返済!$B$2:$B$421,A6,月次返済!$E$2:$E$421)</f>
        <v>2574445.57430257</v>
      </c>
      <c r="F6" s="24" t="n">
        <f aca="false">SUMIF(月次返済!$B$2:$B$421,A6,月次返済!$F$2:$F$421)</f>
        <v>677302.984854698</v>
      </c>
      <c r="G6" s="24" t="n">
        <f aca="false">INDEX(月次返済!$H$2:$H$421,A6*12)</f>
        <v>66701110.2659526</v>
      </c>
      <c r="H6" s="24" t="n">
        <f aca="false">IF(A6&lt;=入力!$B$34,MIN(G6,入力!$B$35)*入力!$B$33,0)</f>
        <v>245000</v>
      </c>
      <c r="I6" s="24" t="n">
        <f aca="false">MAX(0,C6-MIN(1950000,MAX(550000,IF(C6&lt;=1800000,C6*0.4-100000,IF(C6&lt;=3600000,C6*0.3+80000,IF(C6&lt;=6600000,C6*0.2+440000,IF(C6&lt;=8500000,C6*0.1+1100000,1950000))))))-C6*0.145-480000)</f>
        <v>7356880.71405</v>
      </c>
      <c r="J6" s="24" t="n">
        <f aca="false">IF(I6&lt;=1950000,I6*0.05,IF(I6&lt;=3300000,I6*0.1-97500,IF(I6&lt;=6950000,I6*0.2-427500,IF(I6&lt;=9000000,I6*0.23-636000,IF(I6&lt;=18000000,I6*0.33-1536000,I6*0.4-2796000)))))</f>
        <v>1056082.5642315</v>
      </c>
      <c r="K6" s="24" t="n">
        <f aca="false">J6+MIN(97500,I6*0.05)</f>
        <v>1153582.5642315</v>
      </c>
      <c r="L6" s="24" t="n">
        <f aca="false">MIN(H6,K6)</f>
        <v>245000</v>
      </c>
      <c r="M6" s="24" t="n">
        <f aca="false">12*入力!$B$18*(1+入力!$B$19)^(A6-1)</f>
        <v>342000</v>
      </c>
      <c r="N6" s="24" t="n">
        <f aca="false">12*IF(A6&gt;=入力!$B$23,入力!$C$23,IF(A6&gt;=入力!$B$22,入力!$C$22,IF(A6&gt;=入力!$B$21,入力!$C$21,入力!$B$20)))</f>
        <v>199200</v>
      </c>
      <c r="O6" s="24" t="n">
        <f aca="false">12*(入力!$B$24+入力!$B$25)</f>
        <v>17160</v>
      </c>
      <c r="P6" s="24" t="n">
        <f aca="false">IF(A6&lt;=入力!$B$30,入力!$B$28,入力!$B$29)</f>
        <v>220000</v>
      </c>
      <c r="Q6" s="24" t="n">
        <f aca="false">E6+M6+N6+O6+P6-L6</f>
        <v>3107805.57430257</v>
      </c>
      <c r="R6" s="24" t="n">
        <f aca="false">Q6/12</f>
        <v>258983.797858548</v>
      </c>
      <c r="S6" s="28" t="n">
        <f aca="false">IF(C6=0,0,E6/C6)</f>
        <v>0.224908326804141</v>
      </c>
      <c r="T6" s="28" t="n">
        <f aca="false">IF(D6=0,0,Q6/D6)</f>
        <v>0.362004857136837</v>
      </c>
      <c r="U6" s="24" t="n">
        <f aca="false">SUM($Q$2:Q6)</f>
        <v>15539027.8715129</v>
      </c>
    </row>
    <row r="7" customFormat="false" ht="15" hidden="false" customHeight="false" outlineLevel="0" collapsed="false">
      <c r="A7" s="22" t="n">
        <v>6</v>
      </c>
      <c r="B7" s="22" t="n">
        <f aca="false">入力!$B$8+A7-1</f>
        <v>2031</v>
      </c>
      <c r="C7" s="27" t="n">
        <f aca="false">入力!$B$38*(1+入力!$B$39)^(A7-1)</f>
        <v>11561110.5511</v>
      </c>
      <c r="D7" s="24" t="n">
        <f aca="false">C7*入力!$B$40</f>
        <v>8670832.913325</v>
      </c>
      <c r="E7" s="24" t="n">
        <f aca="false">SUMIF(月次返済!$B$2:$B$421,A7,月次返済!$E$2:$E$421)</f>
        <v>2762388.14552915</v>
      </c>
      <c r="F7" s="24" t="n">
        <f aca="false">SUMIF(月次返済!$B$2:$B$421,A7,月次返済!$F$2:$F$421)</f>
        <v>988353.174975887</v>
      </c>
      <c r="G7" s="24" t="n">
        <f aca="false">INDEX(月次返済!$H$2:$H$421,A7*12)</f>
        <v>64927075.2953993</v>
      </c>
      <c r="H7" s="24" t="n">
        <f aca="false">IF(A7&lt;=入力!$B$34,MIN(G7,入力!$B$35)*入力!$B$33,0)</f>
        <v>245000</v>
      </c>
      <c r="I7" s="24" t="n">
        <f aca="false">MAX(0,C7-MIN(1950000,MAX(550000,IF(C7&lt;=1800000,C7*0.4-100000,IF(C7&lt;=3600000,C7*0.3+80000,IF(C7&lt;=6600000,C7*0.2+440000,IF(C7&lt;=8500000,C7*0.1+1100000,1950000))))))-C7*0.145-480000)</f>
        <v>7454749.5211905</v>
      </c>
      <c r="J7" s="24" t="n">
        <f aca="false">IF(I7&lt;=1950000,I7*0.05,IF(I7&lt;=3300000,I7*0.1-97500,IF(I7&lt;=6950000,I7*0.2-427500,IF(I7&lt;=9000000,I7*0.23-636000,IF(I7&lt;=18000000,I7*0.33-1536000,I7*0.4-2796000)))))</f>
        <v>1078592.38987382</v>
      </c>
      <c r="K7" s="24" t="n">
        <f aca="false">J7+MIN(97500,I7*0.05)</f>
        <v>1176092.38987382</v>
      </c>
      <c r="L7" s="24" t="n">
        <f aca="false">MIN(H7,K7)</f>
        <v>245000</v>
      </c>
      <c r="M7" s="24" t="n">
        <f aca="false">12*入力!$B$18*(1+入力!$B$19)^(A7-1)</f>
        <v>342000</v>
      </c>
      <c r="N7" s="24" t="n">
        <f aca="false">12*IF(A7&gt;=入力!$B$23,入力!$C$23,IF(A7&gt;=入力!$B$22,入力!$C$22,IF(A7&gt;=入力!$B$21,入力!$C$21,入力!$B$20)))</f>
        <v>298800</v>
      </c>
      <c r="O7" s="24" t="n">
        <f aca="false">12*(入力!$B$24+入力!$B$25)</f>
        <v>17160</v>
      </c>
      <c r="P7" s="24" t="n">
        <f aca="false">IF(A7&lt;=入力!$B$30,入力!$B$28,入力!$B$29)</f>
        <v>300000</v>
      </c>
      <c r="Q7" s="24" t="n">
        <f aca="false">E7+M7+N7+O7+P7-L7</f>
        <v>3475348.14552915</v>
      </c>
      <c r="R7" s="24" t="n">
        <f aca="false">Q7/12</f>
        <v>289612.345460763</v>
      </c>
      <c r="S7" s="28" t="n">
        <f aca="false">IF(C7=0,0,E7/C7)</f>
        <v>0.238937957847511</v>
      </c>
      <c r="T7" s="28" t="n">
        <f aca="false">IF(D7=0,0,Q7/D7)</f>
        <v>0.400809031873786</v>
      </c>
      <c r="U7" s="24" t="n">
        <f aca="false">SUM($Q$2:Q7)</f>
        <v>19014376.017042</v>
      </c>
    </row>
    <row r="8" customFormat="false" ht="15" hidden="false" customHeight="false" outlineLevel="0" collapsed="false">
      <c r="A8" s="22" t="n">
        <v>7</v>
      </c>
      <c r="B8" s="22" t="n">
        <f aca="false">入力!$B$8+A8-1</f>
        <v>2032</v>
      </c>
      <c r="C8" s="27" t="n">
        <f aca="false">入力!$B$38*(1+入力!$B$39)^(A8-1)</f>
        <v>11676721.656611</v>
      </c>
      <c r="D8" s="24" t="n">
        <f aca="false">C8*入力!$B$40</f>
        <v>8757541.24245825</v>
      </c>
      <c r="E8" s="24" t="n">
        <f aca="false">SUMIF(月次返済!$B$2:$B$421,A8,月次返済!$E$2:$E$421)</f>
        <v>2762388.14552915</v>
      </c>
      <c r="F8" s="24" t="n">
        <f aca="false">SUMIF(月次返済!$B$2:$B$421,A8,月次返済!$F$2:$F$421)</f>
        <v>961558.938632389</v>
      </c>
      <c r="G8" s="24" t="n">
        <f aca="false">INDEX(月次返済!$H$2:$H$421,A8*12)</f>
        <v>63126246.0885026</v>
      </c>
      <c r="H8" s="24" t="n">
        <f aca="false">IF(A8&lt;=入力!$B$34,MIN(G8,入力!$B$35)*入力!$B$33,0)</f>
        <v>245000</v>
      </c>
      <c r="I8" s="24" t="n">
        <f aca="false">MAX(0,C8-MIN(1950000,MAX(550000,IF(C8&lt;=1800000,C8*0.4-100000,IF(C8&lt;=3600000,C8*0.3+80000,IF(C8&lt;=6600000,C8*0.2+440000,IF(C8&lt;=8500000,C8*0.1+1100000,1950000))))))-C8*0.145-480000)</f>
        <v>7553597.01640241</v>
      </c>
      <c r="J8" s="24" t="n">
        <f aca="false">IF(I8&lt;=1950000,I8*0.05,IF(I8&lt;=3300000,I8*0.1-97500,IF(I8&lt;=6950000,I8*0.2-427500,IF(I8&lt;=9000000,I8*0.23-636000,IF(I8&lt;=18000000,I8*0.33-1536000,I8*0.4-2796000)))))</f>
        <v>1101327.31377255</v>
      </c>
      <c r="K8" s="24" t="n">
        <f aca="false">J8+MIN(97500,I8*0.05)</f>
        <v>1198827.31377255</v>
      </c>
      <c r="L8" s="24" t="n">
        <f aca="false">MIN(H8,K8)</f>
        <v>245000</v>
      </c>
      <c r="M8" s="24" t="n">
        <f aca="false">12*入力!$B$18*(1+入力!$B$19)^(A8-1)</f>
        <v>342000</v>
      </c>
      <c r="N8" s="24" t="n">
        <f aca="false">12*IF(A8&gt;=入力!$B$23,入力!$C$23,IF(A8&gt;=入力!$B$22,入力!$C$22,IF(A8&gt;=入力!$B$21,入力!$C$21,入力!$B$20)))</f>
        <v>298800</v>
      </c>
      <c r="O8" s="24" t="n">
        <f aca="false">12*(入力!$B$24+入力!$B$25)</f>
        <v>17160</v>
      </c>
      <c r="P8" s="24" t="n">
        <f aca="false">IF(A8&lt;=入力!$B$30,入力!$B$28,入力!$B$29)</f>
        <v>300000</v>
      </c>
      <c r="Q8" s="24" t="n">
        <f aca="false">E8+M8+N8+O8+P8-L8</f>
        <v>3475348.14552915</v>
      </c>
      <c r="R8" s="24" t="n">
        <f aca="false">Q8/12</f>
        <v>289612.345460763</v>
      </c>
      <c r="S8" s="28" t="n">
        <f aca="false">IF(C8=0,0,E8/C8)</f>
        <v>0.236572235492586</v>
      </c>
      <c r="T8" s="28" t="n">
        <f aca="false">IF(D8=0,0,Q8/D8)</f>
        <v>0.39684062561761</v>
      </c>
      <c r="U8" s="24" t="n">
        <f aca="false">SUM($Q$2:Q8)</f>
        <v>22489724.1625712</v>
      </c>
    </row>
    <row r="9" customFormat="false" ht="15" hidden="false" customHeight="false" outlineLevel="0" collapsed="false">
      <c r="A9" s="22" t="n">
        <v>8</v>
      </c>
      <c r="B9" s="22" t="n">
        <f aca="false">入力!$B$8+A9-1</f>
        <v>2033</v>
      </c>
      <c r="C9" s="27" t="n">
        <f aca="false">入力!$B$38*(1+入力!$B$39)^(A9-1)</f>
        <v>11793488.8731771</v>
      </c>
      <c r="D9" s="24" t="n">
        <f aca="false">C9*入力!$B$40</f>
        <v>8845116.65488283</v>
      </c>
      <c r="E9" s="24" t="n">
        <f aca="false">SUMIF(月次返済!$B$2:$B$421,A9,月次返済!$E$2:$E$421)</f>
        <v>2762388.14552915</v>
      </c>
      <c r="F9" s="24" t="n">
        <f aca="false">SUMIF(月次返済!$B$2:$B$421,A9,月次返済!$F$2:$F$421)</f>
        <v>934360.014042523</v>
      </c>
      <c r="G9" s="24" t="n">
        <f aca="false">INDEX(月次返済!$H$2:$H$421,A9*12)</f>
        <v>61298217.9570159</v>
      </c>
      <c r="H9" s="24" t="n">
        <f aca="false">IF(A9&lt;=入力!$B$34,MIN(G9,入力!$B$35)*入力!$B$33,0)</f>
        <v>245000</v>
      </c>
      <c r="I9" s="24" t="n">
        <f aca="false">MAX(0,C9-MIN(1950000,MAX(550000,IF(C9&lt;=1800000,C9*0.4-100000,IF(C9&lt;=3600000,C9*0.3+80000,IF(C9&lt;=6600000,C9*0.2+440000,IF(C9&lt;=8500000,C9*0.1+1100000,1950000))))))-C9*0.145-480000)</f>
        <v>7653432.98656643</v>
      </c>
      <c r="J9" s="24" t="n">
        <f aca="false">IF(I9&lt;=1950000,I9*0.05,IF(I9&lt;=3300000,I9*0.1-97500,IF(I9&lt;=6950000,I9*0.2-427500,IF(I9&lt;=9000000,I9*0.23-636000,IF(I9&lt;=18000000,I9*0.33-1536000,I9*0.4-2796000)))))</f>
        <v>1124289.58691028</v>
      </c>
      <c r="K9" s="24" t="n">
        <f aca="false">J9+MIN(97500,I9*0.05)</f>
        <v>1221789.58691028</v>
      </c>
      <c r="L9" s="24" t="n">
        <f aca="false">MIN(H9,K9)</f>
        <v>245000</v>
      </c>
      <c r="M9" s="24" t="n">
        <f aca="false">12*入力!$B$18*(1+入力!$B$19)^(A9-1)</f>
        <v>342000</v>
      </c>
      <c r="N9" s="24" t="n">
        <f aca="false">12*IF(A9&gt;=入力!$B$23,入力!$C$23,IF(A9&gt;=入力!$B$22,入力!$C$22,IF(A9&gt;=入力!$B$21,入力!$C$21,入力!$B$20)))</f>
        <v>298800</v>
      </c>
      <c r="O9" s="24" t="n">
        <f aca="false">12*(入力!$B$24+入力!$B$25)</f>
        <v>17160</v>
      </c>
      <c r="P9" s="24" t="n">
        <f aca="false">IF(A9&lt;=入力!$B$30,入力!$B$28,入力!$B$29)</f>
        <v>300000</v>
      </c>
      <c r="Q9" s="24" t="n">
        <f aca="false">E9+M9+N9+O9+P9-L9</f>
        <v>3475348.14552915</v>
      </c>
      <c r="R9" s="24" t="n">
        <f aca="false">Q9/12</f>
        <v>289612.345460763</v>
      </c>
      <c r="S9" s="28" t="n">
        <f aca="false">IF(C9=0,0,E9/C9)</f>
        <v>0.234229936131273</v>
      </c>
      <c r="T9" s="28" t="n">
        <f aca="false">IF(D9=0,0,Q9/D9)</f>
        <v>0.392911510512485</v>
      </c>
      <c r="U9" s="24" t="n">
        <f aca="false">SUM($Q$2:Q9)</f>
        <v>25965072.3081003</v>
      </c>
    </row>
    <row r="10" customFormat="false" ht="15" hidden="false" customHeight="false" outlineLevel="0" collapsed="false">
      <c r="A10" s="22" t="n">
        <v>9</v>
      </c>
      <c r="B10" s="22" t="n">
        <f aca="false">入力!$B$8+A10-1</f>
        <v>2034</v>
      </c>
      <c r="C10" s="27" t="n">
        <f aca="false">入力!$B$38*(1+入力!$B$39)^(A10-1)</f>
        <v>11911423.7619089</v>
      </c>
      <c r="D10" s="24" t="n">
        <f aca="false">C10*入力!$B$40</f>
        <v>8933567.82143166</v>
      </c>
      <c r="E10" s="24" t="n">
        <f aca="false">SUMIF(月次返済!$B$2:$B$421,A10,月次返済!$E$2:$E$421)</f>
        <v>2762388.14552915</v>
      </c>
      <c r="F10" s="24" t="n">
        <f aca="false">SUMIF(月次返済!$B$2:$B$421,A10,月次返済!$F$2:$F$421)</f>
        <v>906750.288974737</v>
      </c>
      <c r="G10" s="24" t="n">
        <f aca="false">INDEX(月次返済!$H$2:$H$421,A10*12)</f>
        <v>59442580.1004615</v>
      </c>
      <c r="H10" s="24" t="n">
        <f aca="false">IF(A10&lt;=入力!$B$34,MIN(G10,入力!$B$35)*入力!$B$33,0)</f>
        <v>245000</v>
      </c>
      <c r="I10" s="24" t="n">
        <f aca="false">MAX(0,C10-MIN(1950000,MAX(550000,IF(C10&lt;=1800000,C10*0.4-100000,IF(C10&lt;=3600000,C10*0.3+80000,IF(C10&lt;=6600000,C10*0.2+440000,IF(C10&lt;=8500000,C10*0.1+1100000,1950000))))))-C10*0.145-480000)</f>
        <v>7754267.3164321</v>
      </c>
      <c r="J10" s="24" t="n">
        <f aca="false">IF(I10&lt;=1950000,I10*0.05,IF(I10&lt;=3300000,I10*0.1-97500,IF(I10&lt;=6950000,I10*0.2-427500,IF(I10&lt;=9000000,I10*0.23-636000,IF(I10&lt;=18000000,I10*0.33-1536000,I10*0.4-2796000)))))</f>
        <v>1147481.48277938</v>
      </c>
      <c r="K10" s="24" t="n">
        <f aca="false">J10+MIN(97500,I10*0.05)</f>
        <v>1244981.48277938</v>
      </c>
      <c r="L10" s="24" t="n">
        <f aca="false">MIN(H10,K10)</f>
        <v>245000</v>
      </c>
      <c r="M10" s="24" t="n">
        <f aca="false">12*入力!$B$18*(1+入力!$B$19)^(A10-1)</f>
        <v>342000</v>
      </c>
      <c r="N10" s="24" t="n">
        <f aca="false">12*IF(A10&gt;=入力!$B$23,入力!$C$23,IF(A10&gt;=入力!$B$22,入力!$C$22,IF(A10&gt;=入力!$B$21,入力!$C$21,入力!$B$20)))</f>
        <v>298800</v>
      </c>
      <c r="O10" s="24" t="n">
        <f aca="false">12*(入力!$B$24+入力!$B$25)</f>
        <v>17160</v>
      </c>
      <c r="P10" s="24" t="n">
        <f aca="false">IF(A10&lt;=入力!$B$30,入力!$B$28,入力!$B$29)</f>
        <v>300000</v>
      </c>
      <c r="Q10" s="24" t="n">
        <f aca="false">E10+M10+N10+O10+P10-L10</f>
        <v>3475348.14552915</v>
      </c>
      <c r="R10" s="24" t="n">
        <f aca="false">Q10/12</f>
        <v>289612.345460763</v>
      </c>
      <c r="S10" s="28" t="n">
        <f aca="false">IF(C10=0,0,E10/C10)</f>
        <v>0.231910827852745</v>
      </c>
      <c r="T10" s="28" t="n">
        <f aca="false">IF(D10=0,0,Q10/D10)</f>
        <v>0.389021297537114</v>
      </c>
      <c r="U10" s="24" t="n">
        <f aca="false">SUM($Q$2:Q10)</f>
        <v>29440420.4536295</v>
      </c>
    </row>
    <row r="11" customFormat="false" ht="15" hidden="false" customHeight="false" outlineLevel="0" collapsed="false">
      <c r="A11" s="22" t="n">
        <v>10</v>
      </c>
      <c r="B11" s="22" t="n">
        <f aca="false">入力!$B$8+A11-1</f>
        <v>2035</v>
      </c>
      <c r="C11" s="27" t="n">
        <f aca="false">入力!$B$38*(1+入力!$B$39)^(A11-1)</f>
        <v>12030537.999528</v>
      </c>
      <c r="D11" s="24" t="n">
        <f aca="false">C11*入力!$B$40</f>
        <v>9022903.49964598</v>
      </c>
      <c r="E11" s="24" t="n">
        <f aca="false">SUMIF(月次返済!$B$2:$B$421,A11,月次返済!$E$2:$E$421)</f>
        <v>2762388.14552915</v>
      </c>
      <c r="F11" s="24" t="n">
        <f aca="false">SUMIF(月次返済!$B$2:$B$421,A11,月次返済!$F$2:$F$421)</f>
        <v>878723.558881049</v>
      </c>
      <c r="G11" s="24" t="n">
        <f aca="false">INDEX(月次返済!$H$2:$H$421,A11*12)</f>
        <v>57558915.5138134</v>
      </c>
      <c r="H11" s="24" t="n">
        <f aca="false">IF(A11&lt;=入力!$B$34,MIN(G11,入力!$B$35)*入力!$B$33,0)</f>
        <v>245000</v>
      </c>
      <c r="I11" s="24" t="n">
        <f aca="false">MAX(0,C11-MIN(1950000,MAX(550000,IF(C11&lt;=1800000,C11*0.4-100000,IF(C11&lt;=3600000,C11*0.3+80000,IF(C11&lt;=6600000,C11*0.2+440000,IF(C11&lt;=8500000,C11*0.1+1100000,1950000))))))-C11*0.145-480000)</f>
        <v>7856109.98959642</v>
      </c>
      <c r="J11" s="24" t="n">
        <f aca="false">IF(I11&lt;=1950000,I11*0.05,IF(I11&lt;=3300000,I11*0.1-97500,IF(I11&lt;=6950000,I11*0.2-427500,IF(I11&lt;=9000000,I11*0.23-636000,IF(I11&lt;=18000000,I11*0.33-1536000,I11*0.4-2796000)))))</f>
        <v>1170905.29760718</v>
      </c>
      <c r="K11" s="24" t="n">
        <f aca="false">J11+MIN(97500,I11*0.05)</f>
        <v>1268405.29760718</v>
      </c>
      <c r="L11" s="24" t="n">
        <f aca="false">MIN(H11,K11)</f>
        <v>245000</v>
      </c>
      <c r="M11" s="24" t="n">
        <f aca="false">12*入力!$B$18*(1+入力!$B$19)^(A11-1)</f>
        <v>342000</v>
      </c>
      <c r="N11" s="24" t="n">
        <f aca="false">12*IF(A11&gt;=入力!$B$23,入力!$C$23,IF(A11&gt;=入力!$B$22,入力!$C$22,IF(A11&gt;=入力!$B$21,入力!$C$21,入力!$B$20)))</f>
        <v>298800</v>
      </c>
      <c r="O11" s="24" t="n">
        <f aca="false">12*(入力!$B$24+入力!$B$25)</f>
        <v>17160</v>
      </c>
      <c r="P11" s="24" t="n">
        <f aca="false">IF(A11&lt;=入力!$B$30,入力!$B$28,入力!$B$29)</f>
        <v>300000</v>
      </c>
      <c r="Q11" s="24" t="n">
        <f aca="false">E11+M11+N11+O11+P11-L11</f>
        <v>3475348.14552915</v>
      </c>
      <c r="R11" s="24" t="n">
        <f aca="false">Q11/12</f>
        <v>289612.345460763</v>
      </c>
      <c r="S11" s="28" t="n">
        <f aca="false">IF(C11=0,0,E11/C11)</f>
        <v>0.229614681042322</v>
      </c>
      <c r="T11" s="28" t="n">
        <f aca="false">IF(D11=0,0,Q11/D11)</f>
        <v>0.385169601521895</v>
      </c>
      <c r="U11" s="24" t="n">
        <f aca="false">SUM($Q$2:Q11)</f>
        <v>32915768.5991586</v>
      </c>
    </row>
    <row r="12" customFormat="false" ht="15" hidden="false" customHeight="false" outlineLevel="0" collapsed="false">
      <c r="A12" s="22" t="n">
        <v>11</v>
      </c>
      <c r="B12" s="22" t="n">
        <f aca="false">入力!$B$8+A12-1</f>
        <v>2036</v>
      </c>
      <c r="C12" s="27" t="n">
        <f aca="false">入力!$B$38*(1+入力!$B$39)^(A12-1)</f>
        <v>12150843.3795233</v>
      </c>
      <c r="D12" s="24" t="n">
        <f aca="false">C12*入力!$B$40</f>
        <v>9113132.53464244</v>
      </c>
      <c r="E12" s="24" t="n">
        <f aca="false">SUMIF(月次返済!$B$2:$B$421,A12,月次返済!$E$2:$E$421)</f>
        <v>2927591.5281813</v>
      </c>
      <c r="F12" s="24" t="n">
        <f aca="false">SUMIF(月次返済!$B$2:$B$421,A12,月次返済!$F$2:$F$421)</f>
        <v>1134803.71680553</v>
      </c>
      <c r="G12" s="24" t="n">
        <f aca="false">INDEX(月次返済!$H$2:$H$421,A12*12)</f>
        <v>55766127.7024376</v>
      </c>
      <c r="H12" s="24" t="n">
        <f aca="false">IF(A12&lt;=入力!$B$34,MIN(G12,入力!$B$35)*入力!$B$33,0)</f>
        <v>245000</v>
      </c>
      <c r="I12" s="24" t="n">
        <f aca="false">MAX(0,C12-MIN(1950000,MAX(550000,IF(C12&lt;=1800000,C12*0.4-100000,IF(C12&lt;=3600000,C12*0.3+80000,IF(C12&lt;=6600000,C12*0.2+440000,IF(C12&lt;=8500000,C12*0.1+1100000,1950000))))))-C12*0.145-480000)</f>
        <v>7958971.08949238</v>
      </c>
      <c r="J12" s="24" t="n">
        <f aca="false">IF(I12&lt;=1950000,I12*0.05,IF(I12&lt;=3300000,I12*0.1-97500,IF(I12&lt;=6950000,I12*0.2-427500,IF(I12&lt;=9000000,I12*0.23-636000,IF(I12&lt;=18000000,I12*0.33-1536000,I12*0.4-2796000)))))</f>
        <v>1194563.35058325</v>
      </c>
      <c r="K12" s="24" t="n">
        <f aca="false">J12+MIN(97500,I12*0.05)</f>
        <v>1292063.35058325</v>
      </c>
      <c r="L12" s="24" t="n">
        <f aca="false">MIN(H12,K12)</f>
        <v>245000</v>
      </c>
      <c r="M12" s="24" t="n">
        <f aca="false">12*入力!$B$18*(1+入力!$B$19)^(A12-1)</f>
        <v>342000</v>
      </c>
      <c r="N12" s="24" t="n">
        <f aca="false">12*IF(A12&gt;=入力!$B$23,入力!$C$23,IF(A12&gt;=入力!$B$22,入力!$C$22,IF(A12&gt;=入力!$B$21,入力!$C$21,入力!$B$20)))</f>
        <v>398400</v>
      </c>
      <c r="O12" s="24" t="n">
        <f aca="false">12*(入力!$B$24+入力!$B$25)</f>
        <v>17160</v>
      </c>
      <c r="P12" s="24" t="n">
        <f aca="false">IF(A12&lt;=入力!$B$30,入力!$B$28,入力!$B$29)</f>
        <v>300000</v>
      </c>
      <c r="Q12" s="24" t="n">
        <f aca="false">E12+M12+N12+O12+P12-L12</f>
        <v>3740151.5281813</v>
      </c>
      <c r="R12" s="24" t="n">
        <f aca="false">Q12/12</f>
        <v>311679.294015108</v>
      </c>
      <c r="S12" s="28" t="n">
        <f aca="false">IF(C12=0,0,E12/C12)</f>
        <v>0.240937310830202</v>
      </c>
      <c r="T12" s="28" t="n">
        <f aca="false">IF(D12=0,0,Q12/D12)</f>
        <v>0.410413380246976</v>
      </c>
      <c r="U12" s="24" t="n">
        <f aca="false">SUM($Q$2:Q12)</f>
        <v>36655920.1273399</v>
      </c>
    </row>
    <row r="13" customFormat="false" ht="15" hidden="false" customHeight="false" outlineLevel="0" collapsed="false">
      <c r="A13" s="22" t="n">
        <v>12</v>
      </c>
      <c r="B13" s="22" t="n">
        <f aca="false">入力!$B$8+A13-1</f>
        <v>2037</v>
      </c>
      <c r="C13" s="27" t="n">
        <f aca="false">入力!$B$38*(1+入力!$B$39)^(A13-1)</f>
        <v>12272351.8133185</v>
      </c>
      <c r="D13" s="24" t="n">
        <f aca="false">C13*入力!$B$40</f>
        <v>9204263.85998886</v>
      </c>
      <c r="E13" s="24" t="n">
        <f aca="false">SUMIF(月次返済!$B$2:$B$421,A13,月次返済!$E$2:$E$421)</f>
        <v>2927591.5281813</v>
      </c>
      <c r="F13" s="24" t="n">
        <f aca="false">SUMIF(月次返済!$B$2:$B$421,A13,月次返済!$F$2:$F$421)</f>
        <v>1098617.44995926</v>
      </c>
      <c r="G13" s="24" t="n">
        <f aca="false">INDEX(月次返済!$H$2:$H$421,A13*12)</f>
        <v>53937153.6242156</v>
      </c>
      <c r="H13" s="24" t="n">
        <f aca="false">IF(A13&lt;=入力!$B$34,MIN(G13,入力!$B$35)*入力!$B$33,0)</f>
        <v>245000</v>
      </c>
      <c r="I13" s="24" t="n">
        <f aca="false">MAX(0,C13-MIN(1950000,MAX(550000,IF(C13&lt;=1800000,C13*0.4-100000,IF(C13&lt;=3600000,C13*0.3+80000,IF(C13&lt;=6600000,C13*0.2+440000,IF(C13&lt;=8500000,C13*0.1+1100000,1950000))))))-C13*0.145-480000)</f>
        <v>8062860.8003873</v>
      </c>
      <c r="J13" s="24" t="n">
        <f aca="false">IF(I13&lt;=1950000,I13*0.05,IF(I13&lt;=3300000,I13*0.1-97500,IF(I13&lt;=6950000,I13*0.2-427500,IF(I13&lt;=9000000,I13*0.23-636000,IF(I13&lt;=18000000,I13*0.33-1536000,I13*0.4-2796000)))))</f>
        <v>1218457.98408908</v>
      </c>
      <c r="K13" s="24" t="n">
        <f aca="false">J13+MIN(97500,I13*0.05)</f>
        <v>1315957.98408908</v>
      </c>
      <c r="L13" s="24" t="n">
        <f aca="false">MIN(H13,K13)</f>
        <v>245000</v>
      </c>
      <c r="M13" s="24" t="n">
        <f aca="false">12*入力!$B$18*(1+入力!$B$19)^(A13-1)</f>
        <v>342000</v>
      </c>
      <c r="N13" s="24" t="n">
        <f aca="false">12*IF(A13&gt;=入力!$B$23,入力!$C$23,IF(A13&gt;=入力!$B$22,入力!$C$22,IF(A13&gt;=入力!$B$21,入力!$C$21,入力!$B$20)))</f>
        <v>398400</v>
      </c>
      <c r="O13" s="24" t="n">
        <f aca="false">12*(入力!$B$24+入力!$B$25)</f>
        <v>17160</v>
      </c>
      <c r="P13" s="24" t="n">
        <f aca="false">IF(A13&lt;=入力!$B$30,入力!$B$28,入力!$B$29)</f>
        <v>300000</v>
      </c>
      <c r="Q13" s="24" t="n">
        <f aca="false">E13+M13+N13+O13+P13-L13</f>
        <v>3740151.5281813</v>
      </c>
      <c r="R13" s="24" t="n">
        <f aca="false">Q13/12</f>
        <v>311679.294015108</v>
      </c>
      <c r="S13" s="28" t="n">
        <f aca="false">IF(C13=0,0,E13/C13)</f>
        <v>0.23855179290119</v>
      </c>
      <c r="T13" s="28" t="n">
        <f aca="false">IF(D13=0,0,Q13/D13)</f>
        <v>0.40634988143265</v>
      </c>
      <c r="U13" s="24" t="n">
        <f aca="false">SUM($Q$2:Q13)</f>
        <v>40396071.6555212</v>
      </c>
    </row>
    <row r="14" customFormat="false" ht="15" hidden="false" customHeight="false" outlineLevel="0" collapsed="false">
      <c r="A14" s="22" t="n">
        <v>13</v>
      </c>
      <c r="B14" s="22" t="n">
        <f aca="false">入力!$B$8+A14-1</f>
        <v>2038</v>
      </c>
      <c r="C14" s="27" t="n">
        <f aca="false">入力!$B$38*(1+入力!$B$39)^(A14-1)</f>
        <v>12395075.3314517</v>
      </c>
      <c r="D14" s="24" t="n">
        <f aca="false">C14*入力!$B$40</f>
        <v>9296306.49858875</v>
      </c>
      <c r="E14" s="24" t="n">
        <f aca="false">SUMIF(月次返済!$B$2:$B$421,A14,月次返済!$E$2:$E$421)</f>
        <v>2927591.5281813</v>
      </c>
      <c r="F14" s="24" t="n">
        <f aca="false">SUMIF(月次返済!$B$2:$B$421,A14,月次返済!$F$2:$F$421)</f>
        <v>1061700.78663218</v>
      </c>
      <c r="G14" s="24" t="n">
        <f aca="false">INDEX(月次返済!$H$2:$H$421,A14*12)</f>
        <v>52071262.8826665</v>
      </c>
      <c r="H14" s="24" t="n">
        <f aca="false">IF(A14&lt;=入力!$B$34,MIN(G14,入力!$B$35)*入力!$B$33,0)</f>
        <v>245000</v>
      </c>
      <c r="I14" s="24" t="n">
        <f aca="false">MAX(0,C14-MIN(1950000,MAX(550000,IF(C14&lt;=1800000,C14*0.4-100000,IF(C14&lt;=3600000,C14*0.3+80000,IF(C14&lt;=6600000,C14*0.2+440000,IF(C14&lt;=8500000,C14*0.1+1100000,1950000))))))-C14*0.145-480000)</f>
        <v>8167789.40839118</v>
      </c>
      <c r="J14" s="24" t="n">
        <f aca="false">IF(I14&lt;=1950000,I14*0.05,IF(I14&lt;=3300000,I14*0.1-97500,IF(I14&lt;=6950000,I14*0.2-427500,IF(I14&lt;=9000000,I14*0.23-636000,IF(I14&lt;=18000000,I14*0.33-1536000,I14*0.4-2796000)))))</f>
        <v>1242591.56392997</v>
      </c>
      <c r="K14" s="24" t="n">
        <f aca="false">J14+MIN(97500,I14*0.05)</f>
        <v>1340091.56392997</v>
      </c>
      <c r="L14" s="24" t="n">
        <f aca="false">MIN(H14,K14)</f>
        <v>245000</v>
      </c>
      <c r="M14" s="24" t="n">
        <f aca="false">12*入力!$B$18*(1+入力!$B$19)^(A14-1)</f>
        <v>342000</v>
      </c>
      <c r="N14" s="24" t="n">
        <f aca="false">12*IF(A14&gt;=入力!$B$23,入力!$C$23,IF(A14&gt;=入力!$B$22,入力!$C$22,IF(A14&gt;=入力!$B$21,入力!$C$21,入力!$B$20)))</f>
        <v>398400</v>
      </c>
      <c r="O14" s="24" t="n">
        <f aca="false">12*(入力!$B$24+入力!$B$25)</f>
        <v>17160</v>
      </c>
      <c r="P14" s="24" t="n">
        <f aca="false">IF(A14&lt;=入力!$B$30,入力!$B$28,入力!$B$29)</f>
        <v>300000</v>
      </c>
      <c r="Q14" s="24" t="n">
        <f aca="false">E14+M14+N14+O14+P14-L14</f>
        <v>3740151.5281813</v>
      </c>
      <c r="R14" s="24" t="n">
        <f aca="false">Q14/12</f>
        <v>311679.294015108</v>
      </c>
      <c r="S14" s="28" t="n">
        <f aca="false">IF(C14=0,0,E14/C14)</f>
        <v>0.236189893961575</v>
      </c>
      <c r="T14" s="28" t="n">
        <f aca="false">IF(D14=0,0,Q14/D14)</f>
        <v>0.402326615279851</v>
      </c>
      <c r="U14" s="24" t="n">
        <f aca="false">SUM($Q$2:Q14)</f>
        <v>44136223.1837025</v>
      </c>
    </row>
    <row r="15" customFormat="false" ht="15" hidden="false" customHeight="false" outlineLevel="0" collapsed="false">
      <c r="A15" s="22" t="n">
        <v>14</v>
      </c>
      <c r="B15" s="22" t="n">
        <f aca="false">入力!$B$8+A15-1</f>
        <v>2039</v>
      </c>
      <c r="C15" s="27" t="n">
        <f aca="false">入力!$B$38*(1+入力!$B$39)^(A15-1)</f>
        <v>12519026.0847662</v>
      </c>
      <c r="D15" s="24" t="n">
        <f aca="false">C15*入力!$B$40</f>
        <v>9389269.56357464</v>
      </c>
      <c r="E15" s="24" t="n">
        <f aca="false">SUMIF(月次返済!$B$2:$B$421,A15,月次返済!$E$2:$E$421)</f>
        <v>2927591.5281813</v>
      </c>
      <c r="F15" s="24" t="n">
        <f aca="false">SUMIF(月次返済!$B$2:$B$421,A15,月次返済!$F$2:$F$421)</f>
        <v>1024038.98424193</v>
      </c>
      <c r="G15" s="24" t="n">
        <f aca="false">INDEX(月次返済!$H$2:$H$421,A15*12)</f>
        <v>50167710.3387271</v>
      </c>
      <c r="H15" s="24" t="n">
        <f aca="false">IF(A15&lt;=入力!$B$34,MIN(G15,入力!$B$35)*入力!$B$33,0)</f>
        <v>0</v>
      </c>
      <c r="I15" s="24" t="n">
        <f aca="false">MAX(0,C15-MIN(1950000,MAX(550000,IF(C15&lt;=1800000,C15*0.4-100000,IF(C15&lt;=3600000,C15*0.3+80000,IF(C15&lt;=6600000,C15*0.2+440000,IF(C15&lt;=8500000,C15*0.1+1100000,1950000))))))-C15*0.145-480000)</f>
        <v>8273767.30247509</v>
      </c>
      <c r="J15" s="24" t="n">
        <f aca="false">IF(I15&lt;=1950000,I15*0.05,IF(I15&lt;=3300000,I15*0.1-97500,IF(I15&lt;=6950000,I15*0.2-427500,IF(I15&lt;=9000000,I15*0.23-636000,IF(I15&lt;=18000000,I15*0.33-1536000,I15*0.4-2796000)))))</f>
        <v>1266966.47956927</v>
      </c>
      <c r="K15" s="24" t="n">
        <f aca="false">J15+MIN(97500,I15*0.05)</f>
        <v>1364466.47956927</v>
      </c>
      <c r="L15" s="24" t="n">
        <f aca="false">MIN(H15,K15)</f>
        <v>0</v>
      </c>
      <c r="M15" s="24" t="n">
        <f aca="false">12*入力!$B$18*(1+入力!$B$19)^(A15-1)</f>
        <v>342000</v>
      </c>
      <c r="N15" s="24" t="n">
        <f aca="false">12*IF(A15&gt;=入力!$B$23,入力!$C$23,IF(A15&gt;=入力!$B$22,入力!$C$22,IF(A15&gt;=入力!$B$21,入力!$C$21,入力!$B$20)))</f>
        <v>398400</v>
      </c>
      <c r="O15" s="24" t="n">
        <f aca="false">12*(入力!$B$24+入力!$B$25)</f>
        <v>17160</v>
      </c>
      <c r="P15" s="24" t="n">
        <f aca="false">IF(A15&lt;=入力!$B$30,入力!$B$28,入力!$B$29)</f>
        <v>300000</v>
      </c>
      <c r="Q15" s="24" t="n">
        <f aca="false">E15+M15+N15+O15+P15-L15</f>
        <v>3985151.5281813</v>
      </c>
      <c r="R15" s="24" t="n">
        <f aca="false">Q15/12</f>
        <v>332095.960681775</v>
      </c>
      <c r="S15" s="28" t="n">
        <f aca="false">IF(C15=0,0,E15/C15)</f>
        <v>0.233851380159975</v>
      </c>
      <c r="T15" s="28" t="n">
        <f aca="false">IF(D15=0,0,Q15/D15)</f>
        <v>0.424436800029851</v>
      </c>
      <c r="U15" s="24" t="n">
        <f aca="false">SUM($Q$2:Q15)</f>
        <v>48121374.7118838</v>
      </c>
    </row>
    <row r="16" customFormat="false" ht="15" hidden="false" customHeight="false" outlineLevel="0" collapsed="false">
      <c r="A16" s="22" t="n">
        <v>15</v>
      </c>
      <c r="B16" s="22" t="n">
        <f aca="false">入力!$B$8+A16-1</f>
        <v>2040</v>
      </c>
      <c r="C16" s="27" t="n">
        <f aca="false">入力!$B$38*(1+入力!$B$39)^(A16-1)</f>
        <v>12644216.3456138</v>
      </c>
      <c r="D16" s="24" t="n">
        <f aca="false">C16*入力!$B$40</f>
        <v>9483162.25921039</v>
      </c>
      <c r="E16" s="24" t="n">
        <f aca="false">SUMIF(月次返済!$B$2:$B$421,A16,月次返済!$E$2:$E$421)</f>
        <v>2927591.5281813</v>
      </c>
      <c r="F16" s="24" t="n">
        <f aca="false">SUMIF(月次返済!$B$2:$B$421,A16,月次返済!$F$2:$F$421)</f>
        <v>985617.002636632</v>
      </c>
      <c r="G16" s="24" t="n">
        <f aca="false">INDEX(月次返済!$H$2:$H$421,A16*12)</f>
        <v>48225735.8131824</v>
      </c>
      <c r="H16" s="24" t="n">
        <f aca="false">IF(A16&lt;=入力!$B$34,MIN(G16,入力!$B$35)*入力!$B$33,0)</f>
        <v>0</v>
      </c>
      <c r="I16" s="24" t="n">
        <f aca="false">MAX(0,C16-MIN(1950000,MAX(550000,IF(C16&lt;=1800000,C16*0.4-100000,IF(C16&lt;=3600000,C16*0.3+80000,IF(C16&lt;=6600000,C16*0.2+440000,IF(C16&lt;=8500000,C16*0.1+1100000,1950000))))))-C16*0.145-480000)</f>
        <v>8380804.97549984</v>
      </c>
      <c r="J16" s="24" t="n">
        <f aca="false">IF(I16&lt;=1950000,I16*0.05,IF(I16&lt;=3300000,I16*0.1-97500,IF(I16&lt;=6950000,I16*0.2-427500,IF(I16&lt;=9000000,I16*0.23-636000,IF(I16&lt;=18000000,I16*0.33-1536000,I16*0.4-2796000)))))</f>
        <v>1291585.14436496</v>
      </c>
      <c r="K16" s="24" t="n">
        <f aca="false">J16+MIN(97500,I16*0.05)</f>
        <v>1389085.14436496</v>
      </c>
      <c r="L16" s="24" t="n">
        <f aca="false">MIN(H16,K16)</f>
        <v>0</v>
      </c>
      <c r="M16" s="24" t="n">
        <f aca="false">12*入力!$B$18*(1+入力!$B$19)^(A16-1)</f>
        <v>342000</v>
      </c>
      <c r="N16" s="24" t="n">
        <f aca="false">12*IF(A16&gt;=入力!$B$23,入力!$C$23,IF(A16&gt;=入力!$B$22,入力!$C$22,IF(A16&gt;=入力!$B$21,入力!$C$21,入力!$B$20)))</f>
        <v>398400</v>
      </c>
      <c r="O16" s="24" t="n">
        <f aca="false">12*(入力!$B$24+入力!$B$25)</f>
        <v>17160</v>
      </c>
      <c r="P16" s="24" t="n">
        <f aca="false">IF(A16&lt;=入力!$B$30,入力!$B$28,入力!$B$29)</f>
        <v>300000</v>
      </c>
      <c r="Q16" s="24" t="n">
        <f aca="false">E16+M16+N16+O16+P16-L16</f>
        <v>3985151.5281813</v>
      </c>
      <c r="R16" s="24" t="n">
        <f aca="false">Q16/12</f>
        <v>332095.960681775</v>
      </c>
      <c r="S16" s="28" t="n">
        <f aca="false">IF(C16=0,0,E16/C16)</f>
        <v>0.231536019960371</v>
      </c>
      <c r="T16" s="28" t="n">
        <f aca="false">IF(D16=0,0,Q16/D16)</f>
        <v>0.4202344554751</v>
      </c>
      <c r="U16" s="24" t="n">
        <f aca="false">SUM($Q$2:Q16)</f>
        <v>52106526.2400651</v>
      </c>
    </row>
    <row r="17" customFormat="false" ht="15" hidden="false" customHeight="false" outlineLevel="0" collapsed="false">
      <c r="A17" s="22" t="n">
        <v>16</v>
      </c>
      <c r="B17" s="22" t="n">
        <f aca="false">入力!$B$8+A17-1</f>
        <v>2041</v>
      </c>
      <c r="C17" s="27" t="n">
        <f aca="false">入力!$B$38*(1+入力!$B$39)^(A17-1)</f>
        <v>12770658.50907</v>
      </c>
      <c r="D17" s="24" t="n">
        <f aca="false">C17*入力!$B$40</f>
        <v>9577993.88180249</v>
      </c>
      <c r="E17" s="24" t="n">
        <f aca="false">SUMIF(月次返済!$B$2:$B$421,A17,月次返済!$E$2:$E$421)</f>
        <v>2927591.5281813</v>
      </c>
      <c r="F17" s="24" t="n">
        <f aca="false">SUMIF(月次返済!$B$2:$B$421,A17,月次返済!$F$2:$F$421)</f>
        <v>946419.498088623</v>
      </c>
      <c r="G17" s="24" t="n">
        <f aca="false">INDEX(月次返済!$H$2:$H$421,A17*12)</f>
        <v>46244563.7830898</v>
      </c>
      <c r="H17" s="24" t="n">
        <f aca="false">IF(A17&lt;=入力!$B$34,MIN(G17,入力!$B$35)*入力!$B$33,0)</f>
        <v>0</v>
      </c>
      <c r="I17" s="24" t="n">
        <f aca="false">MAX(0,C17-MIN(1950000,MAX(550000,IF(C17&lt;=1800000,C17*0.4-100000,IF(C17&lt;=3600000,C17*0.3+80000,IF(C17&lt;=6600000,C17*0.2+440000,IF(C17&lt;=8500000,C17*0.1+1100000,1950000))))))-C17*0.145-480000)</f>
        <v>8488913.02525484</v>
      </c>
      <c r="J17" s="24" t="n">
        <f aca="false">IF(I17&lt;=1950000,I17*0.05,IF(I17&lt;=3300000,I17*0.1-97500,IF(I17&lt;=6950000,I17*0.2-427500,IF(I17&lt;=9000000,I17*0.23-636000,IF(I17&lt;=18000000,I17*0.33-1536000,I17*0.4-2796000)))))</f>
        <v>1316449.99580861</v>
      </c>
      <c r="K17" s="24" t="n">
        <f aca="false">J17+MIN(97500,I17*0.05)</f>
        <v>1413949.99580861</v>
      </c>
      <c r="L17" s="24" t="n">
        <f aca="false">MIN(H17,K17)</f>
        <v>0</v>
      </c>
      <c r="M17" s="24" t="n">
        <f aca="false">12*入力!$B$18*(1+入力!$B$19)^(A17-1)</f>
        <v>342000</v>
      </c>
      <c r="N17" s="24" t="n">
        <f aca="false">12*IF(A17&gt;=入力!$B$23,入力!$C$23,IF(A17&gt;=入力!$B$22,入力!$C$22,IF(A17&gt;=入力!$B$21,入力!$C$21,入力!$B$20)))</f>
        <v>448800</v>
      </c>
      <c r="O17" s="24" t="n">
        <f aca="false">12*(入力!$B$24+入力!$B$25)</f>
        <v>17160</v>
      </c>
      <c r="P17" s="24" t="n">
        <f aca="false">IF(A17&lt;=入力!$B$30,入力!$B$28,入力!$B$29)</f>
        <v>300000</v>
      </c>
      <c r="Q17" s="24" t="n">
        <f aca="false">E17+M17+N17+O17+P17-L17</f>
        <v>4035551.5281813</v>
      </c>
      <c r="R17" s="24" t="n">
        <f aca="false">Q17/12</f>
        <v>336295.960681775</v>
      </c>
      <c r="S17" s="28" t="n">
        <f aca="false">IF(C17=0,0,E17/C17)</f>
        <v>0.229243584119179</v>
      </c>
      <c r="T17" s="28" t="n">
        <f aca="false">IF(D17=0,0,Q17/D17)</f>
        <v>0.421335780538403</v>
      </c>
      <c r="U17" s="24" t="n">
        <f aca="false">SUM($Q$2:Q17)</f>
        <v>56142077.7682464</v>
      </c>
    </row>
    <row r="18" customFormat="false" ht="15" hidden="false" customHeight="false" outlineLevel="0" collapsed="false">
      <c r="A18" s="22" t="n">
        <v>17</v>
      </c>
      <c r="B18" s="22" t="n">
        <f aca="false">入力!$B$8+A18-1</f>
        <v>2042</v>
      </c>
      <c r="C18" s="27" t="n">
        <f aca="false">入力!$B$38*(1+入力!$B$39)^(A18-1)</f>
        <v>12898365.0941607</v>
      </c>
      <c r="D18" s="24" t="n">
        <f aca="false">C18*入力!$B$40</f>
        <v>9673773.82062051</v>
      </c>
      <c r="E18" s="24" t="n">
        <f aca="false">SUMIF(月次返済!$B$2:$B$421,A18,月次返済!$E$2:$E$421)</f>
        <v>2927591.5281813</v>
      </c>
      <c r="F18" s="24" t="n">
        <f aca="false">SUMIF(月次返済!$B$2:$B$421,A18,月次返済!$F$2:$F$421)</f>
        <v>906430.817166991</v>
      </c>
      <c r="G18" s="24" t="n">
        <f aca="false">INDEX(月次返済!$H$2:$H$421,A18*12)</f>
        <v>44223403.0720755</v>
      </c>
      <c r="H18" s="24" t="n">
        <f aca="false">IF(A18&lt;=入力!$B$34,MIN(G18,入力!$B$35)*入力!$B$33,0)</f>
        <v>0</v>
      </c>
      <c r="I18" s="24" t="n">
        <f aca="false">MAX(0,C18-MIN(1950000,MAX(550000,IF(C18&lt;=1800000,C18*0.4-100000,IF(C18&lt;=3600000,C18*0.3+80000,IF(C18&lt;=6600000,C18*0.2+440000,IF(C18&lt;=8500000,C18*0.1+1100000,1950000))))))-C18*0.145-480000)</f>
        <v>8598102.15550739</v>
      </c>
      <c r="J18" s="24" t="n">
        <f aca="false">IF(I18&lt;=1950000,I18*0.05,IF(I18&lt;=3300000,I18*0.1-97500,IF(I18&lt;=6950000,I18*0.2-427500,IF(I18&lt;=9000000,I18*0.23-636000,IF(I18&lt;=18000000,I18*0.33-1536000,I18*0.4-2796000)))))</f>
        <v>1341563.4957667</v>
      </c>
      <c r="K18" s="24" t="n">
        <f aca="false">J18+MIN(97500,I18*0.05)</f>
        <v>1439063.4957667</v>
      </c>
      <c r="L18" s="24" t="n">
        <f aca="false">MIN(H18,K18)</f>
        <v>0</v>
      </c>
      <c r="M18" s="24" t="n">
        <f aca="false">12*入力!$B$18*(1+入力!$B$19)^(A18-1)</f>
        <v>342000</v>
      </c>
      <c r="N18" s="24" t="n">
        <f aca="false">12*IF(A18&gt;=入力!$B$23,入力!$C$23,IF(A18&gt;=入力!$B$22,入力!$C$22,IF(A18&gt;=入力!$B$21,入力!$C$21,入力!$B$20)))</f>
        <v>448800</v>
      </c>
      <c r="O18" s="24" t="n">
        <f aca="false">12*(入力!$B$24+入力!$B$25)</f>
        <v>17160</v>
      </c>
      <c r="P18" s="24" t="n">
        <f aca="false">IF(A18&lt;=入力!$B$30,入力!$B$28,入力!$B$29)</f>
        <v>300000</v>
      </c>
      <c r="Q18" s="24" t="n">
        <f aca="false">E18+M18+N18+O18+P18-L18</f>
        <v>4035551.5281813</v>
      </c>
      <c r="R18" s="24" t="n">
        <f aca="false">Q18/12</f>
        <v>336295.960681775</v>
      </c>
      <c r="S18" s="28" t="n">
        <f aca="false">IF(C18=0,0,E18/C18)</f>
        <v>0.226973845662554</v>
      </c>
      <c r="T18" s="28" t="n">
        <f aca="false">IF(D18=0,0,Q18/D18)</f>
        <v>0.417164139146933</v>
      </c>
      <c r="U18" s="24" t="n">
        <f aca="false">SUM($Q$2:Q18)</f>
        <v>60177629.2964277</v>
      </c>
    </row>
    <row r="19" customFormat="false" ht="15" hidden="false" customHeight="false" outlineLevel="0" collapsed="false">
      <c r="A19" s="22" t="n">
        <v>18</v>
      </c>
      <c r="B19" s="22" t="n">
        <f aca="false">入力!$B$8+A19-1</f>
        <v>2043</v>
      </c>
      <c r="C19" s="27" t="n">
        <f aca="false">入力!$B$38*(1+入力!$B$39)^(A19-1)</f>
        <v>13027348.7451023</v>
      </c>
      <c r="D19" s="24" t="n">
        <f aca="false">C19*入力!$B$40</f>
        <v>9770511.55882672</v>
      </c>
      <c r="E19" s="24" t="n">
        <f aca="false">SUMIF(月次返済!$B$2:$B$421,A19,月次返済!$E$2:$E$421)</f>
        <v>2927591.5281813</v>
      </c>
      <c r="F19" s="24" t="n">
        <f aca="false">SUMIF(月次返済!$B$2:$B$421,A19,月次返済!$F$2:$F$421)</f>
        <v>865634.990486402</v>
      </c>
      <c r="G19" s="24" t="n">
        <f aca="false">INDEX(月次返済!$H$2:$H$421,A19*12)</f>
        <v>42161446.5343806</v>
      </c>
      <c r="H19" s="24" t="n">
        <f aca="false">IF(A19&lt;=入力!$B$34,MIN(G19,入力!$B$35)*入力!$B$33,0)</f>
        <v>0</v>
      </c>
      <c r="I19" s="24" t="n">
        <f aca="false">MAX(0,C19-MIN(1950000,MAX(550000,IF(C19&lt;=1800000,C19*0.4-100000,IF(C19&lt;=3600000,C19*0.3+80000,IF(C19&lt;=6600000,C19*0.2+440000,IF(C19&lt;=8500000,C19*0.1+1100000,1950000))))))-C19*0.145-480000)</f>
        <v>8708383.17706246</v>
      </c>
      <c r="J19" s="24" t="n">
        <f aca="false">IF(I19&lt;=1950000,I19*0.05,IF(I19&lt;=3300000,I19*0.1-97500,IF(I19&lt;=6950000,I19*0.2-427500,IF(I19&lt;=9000000,I19*0.23-636000,IF(I19&lt;=18000000,I19*0.33-1536000,I19*0.4-2796000)))))</f>
        <v>1366928.13072437</v>
      </c>
      <c r="K19" s="24" t="n">
        <f aca="false">J19+MIN(97500,I19*0.05)</f>
        <v>1464428.13072437</v>
      </c>
      <c r="L19" s="24" t="n">
        <f aca="false">MIN(H19,K19)</f>
        <v>0</v>
      </c>
      <c r="M19" s="24" t="n">
        <f aca="false">12*入力!$B$18*(1+入力!$B$19)^(A19-1)</f>
        <v>342000</v>
      </c>
      <c r="N19" s="24" t="n">
        <f aca="false">12*IF(A19&gt;=入力!$B$23,入力!$C$23,IF(A19&gt;=入力!$B$22,入力!$C$22,IF(A19&gt;=入力!$B$21,入力!$C$21,入力!$B$20)))</f>
        <v>448800</v>
      </c>
      <c r="O19" s="24" t="n">
        <f aca="false">12*(入力!$B$24+入力!$B$25)</f>
        <v>17160</v>
      </c>
      <c r="P19" s="24" t="n">
        <f aca="false">IF(A19&lt;=入力!$B$30,入力!$B$28,入力!$B$29)</f>
        <v>300000</v>
      </c>
      <c r="Q19" s="24" t="n">
        <f aca="false">E19+M19+N19+O19+P19-L19</f>
        <v>4035551.5281813</v>
      </c>
      <c r="R19" s="24" t="n">
        <f aca="false">Q19/12</f>
        <v>336295.960681775</v>
      </c>
      <c r="S19" s="28" t="n">
        <f aca="false">IF(C19=0,0,E19/C19)</f>
        <v>0.224726579863914</v>
      </c>
      <c r="T19" s="28" t="n">
        <f aca="false">IF(D19=0,0,Q19/D19)</f>
        <v>0.413033801135578</v>
      </c>
      <c r="U19" s="24" t="n">
        <f aca="false">SUM($Q$2:Q19)</f>
        <v>64213180.824609</v>
      </c>
    </row>
    <row r="20" customFormat="false" ht="15" hidden="false" customHeight="false" outlineLevel="0" collapsed="false">
      <c r="A20" s="22" t="n">
        <v>19</v>
      </c>
      <c r="B20" s="22" t="n">
        <f aca="false">入力!$B$8+A20-1</f>
        <v>2044</v>
      </c>
      <c r="C20" s="27" t="n">
        <f aca="false">入力!$B$38*(1+入力!$B$39)^(A20-1)</f>
        <v>13157622.2325533</v>
      </c>
      <c r="D20" s="24" t="n">
        <f aca="false">C20*入力!$B$40</f>
        <v>9868216.67441499</v>
      </c>
      <c r="E20" s="24" t="n">
        <f aca="false">SUMIF(月次返済!$B$2:$B$421,A20,月次返済!$E$2:$E$421)</f>
        <v>2927591.5281813</v>
      </c>
      <c r="F20" s="24" t="n">
        <f aca="false">SUMIF(月次返済!$B$2:$B$421,A20,月次返済!$F$2:$F$421)</f>
        <v>824015.726329771</v>
      </c>
      <c r="G20" s="24" t="n">
        <f aca="false">INDEX(月次返済!$H$2:$H$421,A20*12)</f>
        <v>40057870.732529</v>
      </c>
      <c r="H20" s="24" t="n">
        <f aca="false">IF(A20&lt;=入力!$B$34,MIN(G20,入力!$B$35)*入力!$B$33,0)</f>
        <v>0</v>
      </c>
      <c r="I20" s="24" t="n">
        <f aca="false">MAX(0,C20-MIN(1950000,MAX(550000,IF(C20&lt;=1800000,C20*0.4-100000,IF(C20&lt;=3600000,C20*0.3+80000,IF(C20&lt;=6600000,C20*0.2+440000,IF(C20&lt;=8500000,C20*0.1+1100000,1950000))))))-C20*0.145-480000)</f>
        <v>8819767.00883308</v>
      </c>
      <c r="J20" s="24" t="n">
        <f aca="false">IF(I20&lt;=1950000,I20*0.05,IF(I20&lt;=3300000,I20*0.1-97500,IF(I20&lt;=6950000,I20*0.2-427500,IF(I20&lt;=9000000,I20*0.23-636000,IF(I20&lt;=18000000,I20*0.33-1536000,I20*0.4-2796000)))))</f>
        <v>1392546.41203161</v>
      </c>
      <c r="K20" s="24" t="n">
        <f aca="false">J20+MIN(97500,I20*0.05)</f>
        <v>1490046.41203161</v>
      </c>
      <c r="L20" s="24" t="n">
        <f aca="false">MIN(H20,K20)</f>
        <v>0</v>
      </c>
      <c r="M20" s="24" t="n">
        <f aca="false">12*入力!$B$18*(1+入力!$B$19)^(A20-1)</f>
        <v>342000</v>
      </c>
      <c r="N20" s="24" t="n">
        <f aca="false">12*IF(A20&gt;=入力!$B$23,入力!$C$23,IF(A20&gt;=入力!$B$22,入力!$C$22,IF(A20&gt;=入力!$B$21,入力!$C$21,入力!$B$20)))</f>
        <v>448800</v>
      </c>
      <c r="O20" s="24" t="n">
        <f aca="false">12*(入力!$B$24+入力!$B$25)</f>
        <v>17160</v>
      </c>
      <c r="P20" s="24" t="n">
        <f aca="false">IF(A20&lt;=入力!$B$30,入力!$B$28,入力!$B$29)</f>
        <v>300000</v>
      </c>
      <c r="Q20" s="24" t="n">
        <f aca="false">E20+M20+N20+O20+P20-L20</f>
        <v>4035551.5281813</v>
      </c>
      <c r="R20" s="24" t="n">
        <f aca="false">Q20/12</f>
        <v>336295.960681775</v>
      </c>
      <c r="S20" s="28" t="n">
        <f aca="false">IF(C20=0,0,E20/C20)</f>
        <v>0.222501564221698</v>
      </c>
      <c r="T20" s="28" t="n">
        <f aca="false">IF(D20=0,0,Q20/D20)</f>
        <v>0.408944357559978</v>
      </c>
      <c r="U20" s="24" t="n">
        <f aca="false">SUM($Q$2:Q20)</f>
        <v>68248732.3527903</v>
      </c>
    </row>
    <row r="21" customFormat="false" ht="15" hidden="false" customHeight="false" outlineLevel="0" collapsed="false">
      <c r="A21" s="22" t="n">
        <v>20</v>
      </c>
      <c r="B21" s="22" t="n">
        <f aca="false">入力!$B$8+A21-1</f>
        <v>2045</v>
      </c>
      <c r="C21" s="27" t="n">
        <f aca="false">入力!$B$38*(1+入力!$B$39)^(A21-1)</f>
        <v>13289198.4548788</v>
      </c>
      <c r="D21" s="24" t="n">
        <f aca="false">C21*入力!$B$40</f>
        <v>9966898.84115914</v>
      </c>
      <c r="E21" s="24" t="n">
        <f aca="false">SUMIF(月次返済!$B$2:$B$421,A21,月次返済!$E$2:$E$421)</f>
        <v>2927591.5281813</v>
      </c>
      <c r="F21" s="24" t="n">
        <f aca="false">SUMIF(月次返済!$B$2:$B$421,A21,月次返済!$F$2:$F$421)</f>
        <v>781556.404142201</v>
      </c>
      <c r="G21" s="24" t="n">
        <f aca="false">INDEX(月次返済!$H$2:$H$421,A21*12)</f>
        <v>37911835.6084899</v>
      </c>
      <c r="H21" s="24" t="n">
        <f aca="false">IF(A21&lt;=入力!$B$34,MIN(G21,入力!$B$35)*入力!$B$33,0)</f>
        <v>0</v>
      </c>
      <c r="I21" s="24" t="n">
        <f aca="false">MAX(0,C21-MIN(1950000,MAX(550000,IF(C21&lt;=1800000,C21*0.4-100000,IF(C21&lt;=3600000,C21*0.3+80000,IF(C21&lt;=6600000,C21*0.2+440000,IF(C21&lt;=8500000,C21*0.1+1100000,1950000))))))-C21*0.145-480000)</f>
        <v>8932264.67892142</v>
      </c>
      <c r="J21" s="24" t="n">
        <f aca="false">IF(I21&lt;=1950000,I21*0.05,IF(I21&lt;=3300000,I21*0.1-97500,IF(I21&lt;=6950000,I21*0.2-427500,IF(I21&lt;=9000000,I21*0.23-636000,IF(I21&lt;=18000000,I21*0.33-1536000,I21*0.4-2796000)))))</f>
        <v>1418420.87615193</v>
      </c>
      <c r="K21" s="24" t="n">
        <f aca="false">J21+MIN(97500,I21*0.05)</f>
        <v>1515920.87615193</v>
      </c>
      <c r="L21" s="24" t="n">
        <f aca="false">MIN(H21,K21)</f>
        <v>0</v>
      </c>
      <c r="M21" s="24" t="n">
        <f aca="false">12*入力!$B$18*(1+入力!$B$19)^(A21-1)</f>
        <v>342000</v>
      </c>
      <c r="N21" s="24" t="n">
        <f aca="false">12*IF(A21&gt;=入力!$B$23,入力!$C$23,IF(A21&gt;=入力!$B$22,入力!$C$22,IF(A21&gt;=入力!$B$21,入力!$C$21,入力!$B$20)))</f>
        <v>448800</v>
      </c>
      <c r="O21" s="24" t="n">
        <f aca="false">12*(入力!$B$24+入力!$B$25)</f>
        <v>17160</v>
      </c>
      <c r="P21" s="24" t="n">
        <f aca="false">IF(A21&lt;=入力!$B$30,入力!$B$28,入力!$B$29)</f>
        <v>300000</v>
      </c>
      <c r="Q21" s="24" t="n">
        <f aca="false">E21+M21+N21+O21+P21-L21</f>
        <v>4035551.5281813</v>
      </c>
      <c r="R21" s="24" t="n">
        <f aca="false">Q21/12</f>
        <v>336295.960681775</v>
      </c>
      <c r="S21" s="28" t="n">
        <f aca="false">IF(C21=0,0,E21/C21)</f>
        <v>0.220298578437324</v>
      </c>
      <c r="T21" s="28" t="n">
        <f aca="false">IF(D21=0,0,Q21/D21)</f>
        <v>0.404895403524731</v>
      </c>
      <c r="U21" s="24" t="n">
        <f aca="false">SUM($Q$2:Q21)</f>
        <v>72284283.8809716</v>
      </c>
    </row>
    <row r="22" customFormat="false" ht="15" hidden="false" customHeight="false" outlineLevel="0" collapsed="false">
      <c r="A22" s="22" t="n">
        <v>21</v>
      </c>
      <c r="B22" s="22" t="n">
        <f aca="false">入力!$B$8+A22-1</f>
        <v>2046</v>
      </c>
      <c r="C22" s="27" t="n">
        <f aca="false">入力!$B$38*(1+入力!$B$39)^(A22-1)</f>
        <v>13422090.4394276</v>
      </c>
      <c r="D22" s="24" t="n">
        <f aca="false">C22*入力!$B$40</f>
        <v>10066567.8295707</v>
      </c>
      <c r="E22" s="24" t="n">
        <f aca="false">SUMIF(月次返済!$B$2:$B$421,A22,月次返済!$E$2:$E$421)</f>
        <v>2927591.5281813</v>
      </c>
      <c r="F22" s="24" t="n">
        <f aca="false">SUMIF(月次返済!$B$2:$B$421,A22,月次返済!$F$2:$F$421)</f>
        <v>738240.067893601</v>
      </c>
      <c r="G22" s="24" t="n">
        <f aca="false">INDEX(月次返済!$H$2:$H$421,A22*12)</f>
        <v>35722484.1482022</v>
      </c>
      <c r="H22" s="24" t="n">
        <f aca="false">IF(A22&lt;=入力!$B$34,MIN(G22,入力!$B$35)*入力!$B$33,0)</f>
        <v>0</v>
      </c>
      <c r="I22" s="24" t="n">
        <f aca="false">MAX(0,C22-MIN(1950000,MAX(550000,IF(C22&lt;=1800000,C22*0.4-100000,IF(C22&lt;=3600000,C22*0.3+80000,IF(C22&lt;=6600000,C22*0.2+440000,IF(C22&lt;=8500000,C22*0.1+1100000,1950000))))))-C22*0.145-480000)</f>
        <v>9045887.32571063</v>
      </c>
      <c r="J22" s="24" t="n">
        <f aca="false">IF(I22&lt;=1950000,I22*0.05,IF(I22&lt;=3300000,I22*0.1-97500,IF(I22&lt;=6950000,I22*0.2-427500,IF(I22&lt;=9000000,I22*0.23-636000,IF(I22&lt;=18000000,I22*0.33-1536000,I22*0.4-2796000)))))</f>
        <v>1449142.81748451</v>
      </c>
      <c r="K22" s="24" t="n">
        <f aca="false">J22+MIN(97500,I22*0.05)</f>
        <v>1546642.81748451</v>
      </c>
      <c r="L22" s="24" t="n">
        <f aca="false">MIN(H22,K22)</f>
        <v>0</v>
      </c>
      <c r="M22" s="24" t="n">
        <f aca="false">12*入力!$B$18*(1+入力!$B$19)^(A22-1)</f>
        <v>342000</v>
      </c>
      <c r="N22" s="24" t="n">
        <f aca="false">12*IF(A22&gt;=入力!$B$23,入力!$C$23,IF(A22&gt;=入力!$B$22,入力!$C$22,IF(A22&gt;=入力!$B$21,入力!$C$21,入力!$B$20)))</f>
        <v>448800</v>
      </c>
      <c r="O22" s="24" t="n">
        <f aca="false">12*(入力!$B$24+入力!$B$25)</f>
        <v>17160</v>
      </c>
      <c r="P22" s="24" t="n">
        <f aca="false">IF(A22&lt;=入力!$B$30,入力!$B$28,入力!$B$29)</f>
        <v>300000</v>
      </c>
      <c r="Q22" s="24" t="n">
        <f aca="false">E22+M22+N22+O22+P22-L22</f>
        <v>4035551.5281813</v>
      </c>
      <c r="R22" s="24" t="n">
        <f aca="false">Q22/12</f>
        <v>336295.960681775</v>
      </c>
      <c r="S22" s="28" t="n">
        <f aca="false">IF(C22=0,0,E22/C22)</f>
        <v>0.21811740439339</v>
      </c>
      <c r="T22" s="28" t="n">
        <f aca="false">IF(D22=0,0,Q22/D22)</f>
        <v>0.400886538143298</v>
      </c>
      <c r="U22" s="24" t="n">
        <f aca="false">SUM($Q$2:Q22)</f>
        <v>76319835.4091529</v>
      </c>
    </row>
    <row r="23" customFormat="false" ht="15" hidden="false" customHeight="false" outlineLevel="0" collapsed="false">
      <c r="A23" s="22" t="n">
        <v>22</v>
      </c>
      <c r="B23" s="22" t="n">
        <f aca="false">入力!$B$8+A23-1</f>
        <v>2047</v>
      </c>
      <c r="C23" s="27" t="n">
        <f aca="false">入力!$B$38*(1+入力!$B$39)^(A23-1)</f>
        <v>13556311.3438219</v>
      </c>
      <c r="D23" s="24" t="n">
        <f aca="false">C23*入力!$B$40</f>
        <v>10167233.5078664</v>
      </c>
      <c r="E23" s="24" t="n">
        <f aca="false">SUMIF(月次返済!$B$2:$B$421,A23,月次返済!$E$2:$E$421)</f>
        <v>2927591.5281813</v>
      </c>
      <c r="F23" s="24" t="n">
        <f aca="false">SUMIF(月次返済!$B$2:$B$421,A23,月次返済!$F$2:$F$421)</f>
        <v>694049.41930734</v>
      </c>
      <c r="G23" s="24" t="n">
        <f aca="false">INDEX(月次返済!$H$2:$H$421,A23*12)</f>
        <v>33488942.0393283</v>
      </c>
      <c r="H23" s="24" t="n">
        <f aca="false">IF(A23&lt;=入力!$B$34,MIN(G23,入力!$B$35)*入力!$B$33,0)</f>
        <v>0</v>
      </c>
      <c r="I23" s="24" t="n">
        <f aca="false">MAX(0,C23-MIN(1950000,MAX(550000,IF(C23&lt;=1800000,C23*0.4-100000,IF(C23&lt;=3600000,C23*0.3+80000,IF(C23&lt;=6600000,C23*0.2+440000,IF(C23&lt;=8500000,C23*0.1+1100000,1950000))))))-C23*0.145-480000)</f>
        <v>9160646.19896774</v>
      </c>
      <c r="J23" s="24" t="n">
        <f aca="false">IF(I23&lt;=1950000,I23*0.05,IF(I23&lt;=3300000,I23*0.1-97500,IF(I23&lt;=6950000,I23*0.2-427500,IF(I23&lt;=9000000,I23*0.23-636000,IF(I23&lt;=18000000,I23*0.33-1536000,I23*0.4-2796000)))))</f>
        <v>1487013.24565935</v>
      </c>
      <c r="K23" s="24" t="n">
        <f aca="false">J23+MIN(97500,I23*0.05)</f>
        <v>1584513.24565935</v>
      </c>
      <c r="L23" s="24" t="n">
        <f aca="false">MIN(H23,K23)</f>
        <v>0</v>
      </c>
      <c r="M23" s="24" t="n">
        <f aca="false">12*入力!$B$18*(1+入力!$B$19)^(A23-1)</f>
        <v>342000</v>
      </c>
      <c r="N23" s="24" t="n">
        <f aca="false">12*IF(A23&gt;=入力!$B$23,入力!$C$23,IF(A23&gt;=入力!$B$22,入力!$C$22,IF(A23&gt;=入力!$B$21,入力!$C$21,入力!$B$20)))</f>
        <v>448800</v>
      </c>
      <c r="O23" s="24" t="n">
        <f aca="false">12*(入力!$B$24+入力!$B$25)</f>
        <v>17160</v>
      </c>
      <c r="P23" s="24" t="n">
        <f aca="false">IF(A23&lt;=入力!$B$30,入力!$B$28,入力!$B$29)</f>
        <v>300000</v>
      </c>
      <c r="Q23" s="24" t="n">
        <f aca="false">E23+M23+N23+O23+P23-L23</f>
        <v>4035551.5281813</v>
      </c>
      <c r="R23" s="24" t="n">
        <f aca="false">Q23/12</f>
        <v>336295.960681775</v>
      </c>
      <c r="S23" s="28" t="n">
        <f aca="false">IF(C23=0,0,E23/C23)</f>
        <v>0.21595782613207</v>
      </c>
      <c r="T23" s="28" t="n">
        <f aca="false">IF(D23=0,0,Q23/D23)</f>
        <v>0.396917364498314</v>
      </c>
      <c r="U23" s="24" t="n">
        <f aca="false">SUM($Q$2:Q23)</f>
        <v>80355386.9373342</v>
      </c>
    </row>
    <row r="24" customFormat="false" ht="15" hidden="false" customHeight="false" outlineLevel="0" collapsed="false">
      <c r="A24" s="22" t="n">
        <v>23</v>
      </c>
      <c r="B24" s="22" t="n">
        <f aca="false">入力!$B$8+A24-1</f>
        <v>2048</v>
      </c>
      <c r="C24" s="27" t="n">
        <f aca="false">入力!$B$38*(1+入力!$B$39)^(A24-1)</f>
        <v>13691874.4572601</v>
      </c>
      <c r="D24" s="24" t="n">
        <f aca="false">C24*入力!$B$40</f>
        <v>10268905.8429451</v>
      </c>
      <c r="E24" s="24" t="n">
        <f aca="false">SUMIF(月次返済!$B$2:$B$421,A24,月次返済!$E$2:$E$421)</f>
        <v>2927591.5281813</v>
      </c>
      <c r="F24" s="24" t="n">
        <f aca="false">SUMIF(月次返済!$B$2:$B$421,A24,月次返済!$F$2:$F$421)</f>
        <v>648966.810952217</v>
      </c>
      <c r="G24" s="24" t="n">
        <f aca="false">INDEX(月次返済!$H$2:$H$421,A24*12)</f>
        <v>31210317.3220992</v>
      </c>
      <c r="H24" s="24" t="n">
        <f aca="false">IF(A24&lt;=入力!$B$34,MIN(G24,入力!$B$35)*入力!$B$33,0)</f>
        <v>0</v>
      </c>
      <c r="I24" s="24" t="n">
        <f aca="false">MAX(0,C24-MIN(1950000,MAX(550000,IF(C24&lt;=1800000,C24*0.4-100000,IF(C24&lt;=3600000,C24*0.3+80000,IF(C24&lt;=6600000,C24*0.2+440000,IF(C24&lt;=8500000,C24*0.1+1100000,1950000))))))-C24*0.145-480000)</f>
        <v>9276552.66095741</v>
      </c>
      <c r="J24" s="24" t="n">
        <f aca="false">IF(I24&lt;=1950000,I24*0.05,IF(I24&lt;=3300000,I24*0.1-97500,IF(I24&lt;=6950000,I24*0.2-427500,IF(I24&lt;=9000000,I24*0.23-636000,IF(I24&lt;=18000000,I24*0.33-1536000,I24*0.4-2796000)))))</f>
        <v>1525262.37811595</v>
      </c>
      <c r="K24" s="24" t="n">
        <f aca="false">J24+MIN(97500,I24*0.05)</f>
        <v>1622762.37811595</v>
      </c>
      <c r="L24" s="24" t="n">
        <f aca="false">MIN(H24,K24)</f>
        <v>0</v>
      </c>
      <c r="M24" s="24" t="n">
        <f aca="false">12*入力!$B$18*(1+入力!$B$19)^(A24-1)</f>
        <v>342000</v>
      </c>
      <c r="N24" s="24" t="n">
        <f aca="false">12*IF(A24&gt;=入力!$B$23,入力!$C$23,IF(A24&gt;=入力!$B$22,入力!$C$22,IF(A24&gt;=入力!$B$21,入力!$C$21,入力!$B$20)))</f>
        <v>448800</v>
      </c>
      <c r="O24" s="24" t="n">
        <f aca="false">12*(入力!$B$24+入力!$B$25)</f>
        <v>17160</v>
      </c>
      <c r="P24" s="24" t="n">
        <f aca="false">IF(A24&lt;=入力!$B$30,入力!$B$28,入力!$B$29)</f>
        <v>300000</v>
      </c>
      <c r="Q24" s="24" t="n">
        <f aca="false">E24+M24+N24+O24+P24-L24</f>
        <v>4035551.5281813</v>
      </c>
      <c r="R24" s="24" t="n">
        <f aca="false">Q24/12</f>
        <v>336295.960681775</v>
      </c>
      <c r="S24" s="28" t="n">
        <f aca="false">IF(C24=0,0,E24/C24)</f>
        <v>0.213819629833732</v>
      </c>
      <c r="T24" s="28" t="n">
        <f aca="false">IF(D24=0,0,Q24/D24)</f>
        <v>0.392987489602291</v>
      </c>
      <c r="U24" s="24" t="n">
        <f aca="false">SUM($Q$2:Q24)</f>
        <v>84390938.4655155</v>
      </c>
    </row>
    <row r="25" customFormat="false" ht="15" hidden="false" customHeight="false" outlineLevel="0" collapsed="false">
      <c r="A25" s="22" t="n">
        <v>24</v>
      </c>
      <c r="B25" s="22" t="n">
        <f aca="false">入力!$B$8+A25-1</f>
        <v>2049</v>
      </c>
      <c r="C25" s="27" t="n">
        <f aca="false">入力!$B$38*(1+入力!$B$39)^(A25-1)</f>
        <v>13828793.2018327</v>
      </c>
      <c r="D25" s="24" t="n">
        <f aca="false">C25*入力!$B$40</f>
        <v>10371594.9013746</v>
      </c>
      <c r="E25" s="24" t="n">
        <f aca="false">SUMIF(月次返済!$B$2:$B$421,A25,月次返済!$E$2:$E$421)</f>
        <v>2927591.5281813</v>
      </c>
      <c r="F25" s="24" t="n">
        <f aca="false">SUMIF(月次返済!$B$2:$B$421,A25,月次返済!$F$2:$F$421)</f>
        <v>602974.239195005</v>
      </c>
      <c r="G25" s="24" t="n">
        <f aca="false">INDEX(月次返済!$H$2:$H$421,A25*12)</f>
        <v>28885700.0331129</v>
      </c>
      <c r="H25" s="24" t="n">
        <f aca="false">IF(A25&lt;=入力!$B$34,MIN(G25,入力!$B$35)*入力!$B$33,0)</f>
        <v>0</v>
      </c>
      <c r="I25" s="24" t="n">
        <f aca="false">MAX(0,C25-MIN(1950000,MAX(550000,IF(C25&lt;=1800000,C25*0.4-100000,IF(C25&lt;=3600000,C25*0.3+80000,IF(C25&lt;=6600000,C25*0.2+440000,IF(C25&lt;=8500000,C25*0.1+1100000,1950000))))))-C25*0.145-480000)</f>
        <v>9393618.18756699</v>
      </c>
      <c r="J25" s="24" t="n">
        <f aca="false">IF(I25&lt;=1950000,I25*0.05,IF(I25&lt;=3300000,I25*0.1-97500,IF(I25&lt;=6950000,I25*0.2-427500,IF(I25&lt;=9000000,I25*0.23-636000,IF(I25&lt;=18000000,I25*0.33-1536000,I25*0.4-2796000)))))</f>
        <v>1563894.00189711</v>
      </c>
      <c r="K25" s="24" t="n">
        <f aca="false">J25+MIN(97500,I25*0.05)</f>
        <v>1661394.00189711</v>
      </c>
      <c r="L25" s="24" t="n">
        <f aca="false">MIN(H25,K25)</f>
        <v>0</v>
      </c>
      <c r="M25" s="24" t="n">
        <f aca="false">12*入力!$B$18*(1+入力!$B$19)^(A25-1)</f>
        <v>342000</v>
      </c>
      <c r="N25" s="24" t="n">
        <f aca="false">12*IF(A25&gt;=入力!$B$23,入力!$C$23,IF(A25&gt;=入力!$B$22,入力!$C$22,IF(A25&gt;=入力!$B$21,入力!$C$21,入力!$B$20)))</f>
        <v>448800</v>
      </c>
      <c r="O25" s="24" t="n">
        <f aca="false">12*(入力!$B$24+入力!$B$25)</f>
        <v>17160</v>
      </c>
      <c r="P25" s="24" t="n">
        <f aca="false">IF(A25&lt;=入力!$B$30,入力!$B$28,入力!$B$29)</f>
        <v>300000</v>
      </c>
      <c r="Q25" s="24" t="n">
        <f aca="false">E25+M25+N25+O25+P25-L25</f>
        <v>4035551.5281813</v>
      </c>
      <c r="R25" s="24" t="n">
        <f aca="false">Q25/12</f>
        <v>336295.960681775</v>
      </c>
      <c r="S25" s="28" t="n">
        <f aca="false">IF(C25=0,0,E25/C25)</f>
        <v>0.211702603795775</v>
      </c>
      <c r="T25" s="28" t="n">
        <f aca="false">IF(D25=0,0,Q25/D25)</f>
        <v>0.389096524358704</v>
      </c>
      <c r="U25" s="24" t="n">
        <f aca="false">SUM($Q$2:Q25)</f>
        <v>88426489.9936968</v>
      </c>
    </row>
    <row r="26" customFormat="false" ht="15" hidden="false" customHeight="false" outlineLevel="0" collapsed="false">
      <c r="A26" s="22" t="n">
        <v>25</v>
      </c>
      <c r="B26" s="22" t="n">
        <f aca="false">入力!$B$8+A26-1</f>
        <v>2050</v>
      </c>
      <c r="C26" s="27" t="n">
        <f aca="false">入力!$B$38*(1+入力!$B$39)^(A26-1)</f>
        <v>13967081.1338511</v>
      </c>
      <c r="D26" s="24" t="n">
        <f aca="false">C26*入力!$B$40</f>
        <v>10475310.8503883</v>
      </c>
      <c r="E26" s="24" t="n">
        <f aca="false">SUMIF(月次返済!$B$2:$B$421,A26,月次返済!$E$2:$E$421)</f>
        <v>2927591.5281813</v>
      </c>
      <c r="F26" s="24" t="n">
        <f aca="false">SUMIF(月次返済!$B$2:$B$421,A26,月次返済!$F$2:$F$421)</f>
        <v>556053.337010738</v>
      </c>
      <c r="G26" s="24" t="n">
        <f aca="false">INDEX(月次返済!$H$2:$H$421,A26*12)</f>
        <v>26514161.8419424</v>
      </c>
      <c r="H26" s="24" t="n">
        <f aca="false">IF(A26&lt;=入力!$B$34,MIN(G26,入力!$B$35)*入力!$B$33,0)</f>
        <v>0</v>
      </c>
      <c r="I26" s="24" t="n">
        <f aca="false">MAX(0,C26-MIN(1950000,MAX(550000,IF(C26&lt;=1800000,C26*0.4-100000,IF(C26&lt;=3600000,C26*0.3+80000,IF(C26&lt;=6600000,C26*0.2+440000,IF(C26&lt;=8500000,C26*0.1+1100000,1950000))))))-C26*0.145-480000)</f>
        <v>9511854.36944266</v>
      </c>
      <c r="J26" s="24" t="n">
        <f aca="false">IF(I26&lt;=1950000,I26*0.05,IF(I26&lt;=3300000,I26*0.1-97500,IF(I26&lt;=6950000,I26*0.2-427500,IF(I26&lt;=9000000,I26*0.23-636000,IF(I26&lt;=18000000,I26*0.33-1536000,I26*0.4-2796000)))))</f>
        <v>1602911.94191608</v>
      </c>
      <c r="K26" s="24" t="n">
        <f aca="false">J26+MIN(97500,I26*0.05)</f>
        <v>1700411.94191608</v>
      </c>
      <c r="L26" s="24" t="n">
        <f aca="false">MIN(H26,K26)</f>
        <v>0</v>
      </c>
      <c r="M26" s="24" t="n">
        <f aca="false">12*入力!$B$18*(1+入力!$B$19)^(A26-1)</f>
        <v>342000</v>
      </c>
      <c r="N26" s="24" t="n">
        <f aca="false">12*IF(A26&gt;=入力!$B$23,入力!$C$23,IF(A26&gt;=入力!$B$22,入力!$C$22,IF(A26&gt;=入力!$B$21,入力!$C$21,入力!$B$20)))</f>
        <v>448800</v>
      </c>
      <c r="O26" s="24" t="n">
        <f aca="false">12*(入力!$B$24+入力!$B$25)</f>
        <v>17160</v>
      </c>
      <c r="P26" s="24" t="n">
        <f aca="false">IF(A26&lt;=入力!$B$30,入力!$B$28,入力!$B$29)</f>
        <v>300000</v>
      </c>
      <c r="Q26" s="24" t="n">
        <f aca="false">E26+M26+N26+O26+P26-L26</f>
        <v>4035551.5281813</v>
      </c>
      <c r="R26" s="24" t="n">
        <f aca="false">Q26/12</f>
        <v>336295.960681775</v>
      </c>
      <c r="S26" s="28" t="n">
        <f aca="false">IF(C26=0,0,E26/C26)</f>
        <v>0.209606538411658</v>
      </c>
      <c r="T26" s="28" t="n">
        <f aca="false">IF(D26=0,0,Q26/D26)</f>
        <v>0.38524408352347</v>
      </c>
      <c r="U26" s="24" t="n">
        <f aca="false">SUM($Q$2:Q26)</f>
        <v>92462041.5218781</v>
      </c>
    </row>
    <row r="27" customFormat="false" ht="15" hidden="false" customHeight="false" outlineLevel="0" collapsed="false">
      <c r="A27" s="22" t="n">
        <v>26</v>
      </c>
      <c r="B27" s="22" t="n">
        <f aca="false">入力!$B$8+A27-1</f>
        <v>2051</v>
      </c>
      <c r="C27" s="27" t="n">
        <f aca="false">入力!$B$38*(1+入力!$B$39)^(A27-1)</f>
        <v>14106751.9451896</v>
      </c>
      <c r="D27" s="24" t="n">
        <f aca="false">C27*入力!$B$40</f>
        <v>10580063.9588922</v>
      </c>
      <c r="E27" s="24" t="n">
        <f aca="false">SUMIF(月次返済!$B$2:$B$421,A27,月次返済!$E$2:$E$421)</f>
        <v>2927591.5281813</v>
      </c>
      <c r="F27" s="24" t="n">
        <f aca="false">SUMIF(月次返済!$B$2:$B$421,A27,月次返済!$F$2:$F$421)</f>
        <v>508185.366647888</v>
      </c>
      <c r="G27" s="24" t="n">
        <f aca="false">INDEX(月次返済!$H$2:$H$421,A27*12)</f>
        <v>24094755.6804089</v>
      </c>
      <c r="H27" s="24" t="n">
        <f aca="false">IF(A27&lt;=入力!$B$34,MIN(G27,入力!$B$35)*入力!$B$33,0)</f>
        <v>0</v>
      </c>
      <c r="I27" s="24" t="n">
        <f aca="false">MAX(0,C27-MIN(1950000,MAX(550000,IF(C27&lt;=1800000,C27*0.4-100000,IF(C27&lt;=3600000,C27*0.3+80000,IF(C27&lt;=6600000,C27*0.2+440000,IF(C27&lt;=8500000,C27*0.1+1100000,1950000))))))-C27*0.145-480000)</f>
        <v>9631272.91313709</v>
      </c>
      <c r="J27" s="24" t="n">
        <f aca="false">IF(I27&lt;=1950000,I27*0.05,IF(I27&lt;=3300000,I27*0.1-97500,IF(I27&lt;=6950000,I27*0.2-427500,IF(I27&lt;=9000000,I27*0.23-636000,IF(I27&lt;=18000000,I27*0.33-1536000,I27*0.4-2796000)))))</f>
        <v>1642320.06133524</v>
      </c>
      <c r="K27" s="24" t="n">
        <f aca="false">J27+MIN(97500,I27*0.05)</f>
        <v>1739820.06133524</v>
      </c>
      <c r="L27" s="24" t="n">
        <f aca="false">MIN(H27,K27)</f>
        <v>0</v>
      </c>
      <c r="M27" s="24" t="n">
        <f aca="false">12*入力!$B$18*(1+入力!$B$19)^(A27-1)</f>
        <v>342000</v>
      </c>
      <c r="N27" s="24" t="n">
        <f aca="false">12*IF(A27&gt;=入力!$B$23,入力!$C$23,IF(A27&gt;=入力!$B$22,入力!$C$22,IF(A27&gt;=入力!$B$21,入力!$C$21,入力!$B$20)))</f>
        <v>448800</v>
      </c>
      <c r="O27" s="24" t="n">
        <f aca="false">12*(入力!$B$24+入力!$B$25)</f>
        <v>17160</v>
      </c>
      <c r="P27" s="24" t="n">
        <f aca="false">IF(A27&lt;=入力!$B$30,入力!$B$28,入力!$B$29)</f>
        <v>300000</v>
      </c>
      <c r="Q27" s="24" t="n">
        <f aca="false">E27+M27+N27+O27+P27-L27</f>
        <v>4035551.5281813</v>
      </c>
      <c r="R27" s="24" t="n">
        <f aca="false">Q27/12</f>
        <v>336295.960681775</v>
      </c>
      <c r="S27" s="28" t="n">
        <f aca="false">IF(C27=0,0,E27/C27)</f>
        <v>0.207531226150156</v>
      </c>
      <c r="T27" s="28" t="n">
        <f aca="false">IF(D27=0,0,Q27/D27)</f>
        <v>0.381429785666802</v>
      </c>
      <c r="U27" s="24" t="n">
        <f aca="false">SUM($Q$2:Q27)</f>
        <v>96497593.0500594</v>
      </c>
    </row>
    <row r="28" customFormat="false" ht="15" hidden="false" customHeight="false" outlineLevel="0" collapsed="false">
      <c r="A28" s="22" t="n">
        <v>27</v>
      </c>
      <c r="B28" s="22" t="n">
        <f aca="false">入力!$B$8+A28-1</f>
        <v>2052</v>
      </c>
      <c r="C28" s="27" t="n">
        <f aca="false">入力!$B$38*(1+入力!$B$39)^(A28-1)</f>
        <v>14247819.4646415</v>
      </c>
      <c r="D28" s="24" t="n">
        <f aca="false">C28*入力!$B$40</f>
        <v>10685864.5984811</v>
      </c>
      <c r="E28" s="24" t="n">
        <f aca="false">SUMIF(月次返済!$B$2:$B$421,A28,月次返済!$E$2:$E$421)</f>
        <v>2927591.5281813</v>
      </c>
      <c r="F28" s="24" t="n">
        <f aca="false">SUMIF(月次返済!$B$2:$B$421,A28,月次返済!$F$2:$F$421)</f>
        <v>459351.212145481</v>
      </c>
      <c r="G28" s="24" t="n">
        <f aca="false">INDEX(月次返済!$H$2:$H$421,A28*12)</f>
        <v>21626515.3643731</v>
      </c>
      <c r="H28" s="24" t="n">
        <f aca="false">IF(A28&lt;=入力!$B$34,MIN(G28,入力!$B$35)*入力!$B$33,0)</f>
        <v>0</v>
      </c>
      <c r="I28" s="24" t="n">
        <f aca="false">MAX(0,C28-MIN(1950000,MAX(550000,IF(C28&lt;=1800000,C28*0.4-100000,IF(C28&lt;=3600000,C28*0.3+80000,IF(C28&lt;=6600000,C28*0.2+440000,IF(C28&lt;=8500000,C28*0.1+1100000,1950000))))))-C28*0.145-480000)</f>
        <v>9751885.64226846</v>
      </c>
      <c r="J28" s="24" t="n">
        <f aca="false">IF(I28&lt;=1950000,I28*0.05,IF(I28&lt;=3300000,I28*0.1-97500,IF(I28&lt;=6950000,I28*0.2-427500,IF(I28&lt;=9000000,I28*0.23-636000,IF(I28&lt;=18000000,I28*0.33-1536000,I28*0.4-2796000)))))</f>
        <v>1682122.26194859</v>
      </c>
      <c r="K28" s="24" t="n">
        <f aca="false">J28+MIN(97500,I28*0.05)</f>
        <v>1779622.26194859</v>
      </c>
      <c r="L28" s="24" t="n">
        <f aca="false">MIN(H28,K28)</f>
        <v>0</v>
      </c>
      <c r="M28" s="24" t="n">
        <f aca="false">12*入力!$B$18*(1+入力!$B$19)^(A28-1)</f>
        <v>342000</v>
      </c>
      <c r="N28" s="24" t="n">
        <f aca="false">12*IF(A28&gt;=入力!$B$23,入力!$C$23,IF(A28&gt;=入力!$B$22,入力!$C$22,IF(A28&gt;=入力!$B$21,入力!$C$21,入力!$B$20)))</f>
        <v>448800</v>
      </c>
      <c r="O28" s="24" t="n">
        <f aca="false">12*(入力!$B$24+入力!$B$25)</f>
        <v>17160</v>
      </c>
      <c r="P28" s="24" t="n">
        <f aca="false">IF(A28&lt;=入力!$B$30,入力!$B$28,入力!$B$29)</f>
        <v>300000</v>
      </c>
      <c r="Q28" s="24" t="n">
        <f aca="false">E28+M28+N28+O28+P28-L28</f>
        <v>4035551.5281813</v>
      </c>
      <c r="R28" s="24" t="n">
        <f aca="false">Q28/12</f>
        <v>336295.960681775</v>
      </c>
      <c r="S28" s="28" t="n">
        <f aca="false">IF(C28=0,0,E28/C28)</f>
        <v>0.205476461534808</v>
      </c>
      <c r="T28" s="28" t="n">
        <f aca="false">IF(D28=0,0,Q28/D28)</f>
        <v>0.377653253135447</v>
      </c>
      <c r="U28" s="24" t="n">
        <f aca="false">SUM($Q$2:Q28)</f>
        <v>100533144.578241</v>
      </c>
    </row>
    <row r="29" customFormat="false" ht="15" hidden="false" customHeight="false" outlineLevel="0" collapsed="false">
      <c r="A29" s="22" t="n">
        <v>28</v>
      </c>
      <c r="B29" s="22" t="n">
        <f aca="false">入力!$B$8+A29-1</f>
        <v>2053</v>
      </c>
      <c r="C29" s="27" t="n">
        <f aca="false">入力!$B$38*(1+入力!$B$39)^(A29-1)</f>
        <v>14390297.6592879</v>
      </c>
      <c r="D29" s="24" t="n">
        <f aca="false">C29*入力!$B$40</f>
        <v>10792723.2444659</v>
      </c>
      <c r="E29" s="24" t="n">
        <f aca="false">SUMIF(月次返済!$B$2:$B$421,A29,月次返済!$E$2:$E$421)</f>
        <v>2927591.5281813</v>
      </c>
      <c r="F29" s="24" t="n">
        <f aca="false">SUMIF(月次返済!$B$2:$B$421,A29,月次返済!$F$2:$F$421)</f>
        <v>409531.371699193</v>
      </c>
      <c r="G29" s="24" t="n">
        <f aca="false">INDEX(月次返済!$H$2:$H$421,A29*12)</f>
        <v>19108455.207891</v>
      </c>
      <c r="H29" s="24" t="n">
        <f aca="false">IF(A29&lt;=入力!$B$34,MIN(G29,入力!$B$35)*入力!$B$33,0)</f>
        <v>0</v>
      </c>
      <c r="I29" s="24" t="n">
        <f aca="false">MAX(0,C29-MIN(1950000,MAX(550000,IF(C29&lt;=1800000,C29*0.4-100000,IF(C29&lt;=3600000,C29*0.3+80000,IF(C29&lt;=6600000,C29*0.2+440000,IF(C29&lt;=8500000,C29*0.1+1100000,1950000))))))-C29*0.145-480000)</f>
        <v>9873704.49869114</v>
      </c>
      <c r="J29" s="24" t="n">
        <f aca="false">IF(I29&lt;=1950000,I29*0.05,IF(I29&lt;=3300000,I29*0.1-97500,IF(I29&lt;=6950000,I29*0.2-427500,IF(I29&lt;=9000000,I29*0.23-636000,IF(I29&lt;=18000000,I29*0.33-1536000,I29*0.4-2796000)))))</f>
        <v>1722322.48456808</v>
      </c>
      <c r="K29" s="24" t="n">
        <f aca="false">J29+MIN(97500,I29*0.05)</f>
        <v>1819822.48456808</v>
      </c>
      <c r="L29" s="24" t="n">
        <f aca="false">MIN(H29,K29)</f>
        <v>0</v>
      </c>
      <c r="M29" s="24" t="n">
        <f aca="false">12*入力!$B$18*(1+入力!$B$19)^(A29-1)</f>
        <v>342000</v>
      </c>
      <c r="N29" s="24" t="n">
        <f aca="false">12*IF(A29&gt;=入力!$B$23,入力!$C$23,IF(A29&gt;=入力!$B$22,入力!$C$22,IF(A29&gt;=入力!$B$21,入力!$C$21,入力!$B$20)))</f>
        <v>448800</v>
      </c>
      <c r="O29" s="24" t="n">
        <f aca="false">12*(入力!$B$24+入力!$B$25)</f>
        <v>17160</v>
      </c>
      <c r="P29" s="24" t="n">
        <f aca="false">IF(A29&lt;=入力!$B$30,入力!$B$28,入力!$B$29)</f>
        <v>300000</v>
      </c>
      <c r="Q29" s="24" t="n">
        <f aca="false">E29+M29+N29+O29+P29-L29</f>
        <v>4035551.5281813</v>
      </c>
      <c r="R29" s="24" t="n">
        <f aca="false">Q29/12</f>
        <v>336295.960681775</v>
      </c>
      <c r="S29" s="28" t="n">
        <f aca="false">IF(C29=0,0,E29/C29)</f>
        <v>0.203442041123573</v>
      </c>
      <c r="T29" s="28" t="n">
        <f aca="false">IF(D29=0,0,Q29/D29)</f>
        <v>0.373914112015294</v>
      </c>
      <c r="U29" s="24" t="n">
        <f aca="false">SUM($Q$2:Q29)</f>
        <v>104568696.106422</v>
      </c>
    </row>
    <row r="30" customFormat="false" ht="15" hidden="false" customHeight="false" outlineLevel="0" collapsed="false">
      <c r="A30" s="22" t="n">
        <v>29</v>
      </c>
      <c r="B30" s="22" t="n">
        <f aca="false">入力!$B$8+A30-1</f>
        <v>2054</v>
      </c>
      <c r="C30" s="27" t="n">
        <f aca="false">入力!$B$38*(1+入力!$B$39)^(A30-1)</f>
        <v>14534200.6358808</v>
      </c>
      <c r="D30" s="24" t="n">
        <f aca="false">C30*入力!$B$40</f>
        <v>10900650.4769106</v>
      </c>
      <c r="E30" s="24" t="n">
        <f aca="false">SUMIF(月次返済!$B$2:$B$421,A30,月次返済!$E$2:$E$421)</f>
        <v>2927591.5281813</v>
      </c>
      <c r="F30" s="24" t="n">
        <f aca="false">SUMIF(月次返済!$B$2:$B$421,A30,月次返済!$F$2:$F$421)</f>
        <v>358705.949873342</v>
      </c>
      <c r="G30" s="24" t="n">
        <f aca="false">INDEX(月次返済!$H$2:$H$421,A30*12)</f>
        <v>16539569.6295831</v>
      </c>
      <c r="H30" s="24" t="n">
        <f aca="false">IF(A30&lt;=入力!$B$34,MIN(G30,入力!$B$35)*入力!$B$33,0)</f>
        <v>0</v>
      </c>
      <c r="I30" s="24" t="n">
        <f aca="false">MAX(0,C30-MIN(1950000,MAX(550000,IF(C30&lt;=1800000,C30*0.4-100000,IF(C30&lt;=3600000,C30*0.3+80000,IF(C30&lt;=6600000,C30*0.2+440000,IF(C30&lt;=8500000,C30*0.1+1100000,1950000))))))-C30*0.145-480000)</f>
        <v>9996741.54367805</v>
      </c>
      <c r="J30" s="24" t="n">
        <f aca="false">IF(I30&lt;=1950000,I30*0.05,IF(I30&lt;=3300000,I30*0.1-97500,IF(I30&lt;=6950000,I30*0.2-427500,IF(I30&lt;=9000000,I30*0.23-636000,IF(I30&lt;=18000000,I30*0.33-1536000,I30*0.4-2796000)))))</f>
        <v>1762924.70941376</v>
      </c>
      <c r="K30" s="24" t="n">
        <f aca="false">J30+MIN(97500,I30*0.05)</f>
        <v>1860424.70941376</v>
      </c>
      <c r="L30" s="24" t="n">
        <f aca="false">MIN(H30,K30)</f>
        <v>0</v>
      </c>
      <c r="M30" s="24" t="n">
        <f aca="false">12*入力!$B$18*(1+入力!$B$19)^(A30-1)</f>
        <v>342000</v>
      </c>
      <c r="N30" s="24" t="n">
        <f aca="false">12*IF(A30&gt;=入力!$B$23,入力!$C$23,IF(A30&gt;=入力!$B$22,入力!$C$22,IF(A30&gt;=入力!$B$21,入力!$C$21,入力!$B$20)))</f>
        <v>448800</v>
      </c>
      <c r="O30" s="24" t="n">
        <f aca="false">12*(入力!$B$24+入力!$B$25)</f>
        <v>17160</v>
      </c>
      <c r="P30" s="24" t="n">
        <f aca="false">IF(A30&lt;=入力!$B$30,入力!$B$28,入力!$B$29)</f>
        <v>300000</v>
      </c>
      <c r="Q30" s="24" t="n">
        <f aca="false">E30+M30+N30+O30+P30-L30</f>
        <v>4035551.5281813</v>
      </c>
      <c r="R30" s="24" t="n">
        <f aca="false">Q30/12</f>
        <v>336295.960681775</v>
      </c>
      <c r="S30" s="28" t="n">
        <f aca="false">IF(C30=0,0,E30/C30)</f>
        <v>0.201427763488686</v>
      </c>
      <c r="T30" s="28" t="n">
        <f aca="false">IF(D30=0,0,Q30/D30)</f>
        <v>0.370211992094351</v>
      </c>
      <c r="U30" s="24" t="n">
        <f aca="false">SUM($Q$2:Q30)</f>
        <v>108604247.634603</v>
      </c>
    </row>
    <row r="31" customFormat="false" ht="15" hidden="false" customHeight="false" outlineLevel="0" collapsed="false">
      <c r="A31" s="22" t="n">
        <v>30</v>
      </c>
      <c r="B31" s="22" t="n">
        <f aca="false">入力!$B$8+A31-1</f>
        <v>2055</v>
      </c>
      <c r="C31" s="27" t="n">
        <f aca="false">入力!$B$38*(1+入力!$B$39)^(A31-1)</f>
        <v>14679542.6422396</v>
      </c>
      <c r="D31" s="24" t="n">
        <f aca="false">C31*入力!$B$40</f>
        <v>11009656.9816797</v>
      </c>
      <c r="E31" s="24" t="n">
        <f aca="false">SUMIF(月次返済!$B$2:$B$421,A31,月次返済!$E$2:$E$421)</f>
        <v>2927591.5281813</v>
      </c>
      <c r="F31" s="24" t="n">
        <f aca="false">SUMIF(月次返済!$B$2:$B$421,A31,月次返済!$F$2:$F$421)</f>
        <v>306854.649655695</v>
      </c>
      <c r="G31" s="24" t="n">
        <f aca="false">INDEX(月次返済!$H$2:$H$421,A31*12)</f>
        <v>13918832.7510575</v>
      </c>
      <c r="H31" s="24" t="n">
        <f aca="false">IF(A31&lt;=入力!$B$34,MIN(G31,入力!$B$35)*入力!$B$33,0)</f>
        <v>0</v>
      </c>
      <c r="I31" s="24" t="n">
        <f aca="false">MAX(0,C31-MIN(1950000,MAX(550000,IF(C31&lt;=1800000,C31*0.4-100000,IF(C31&lt;=3600000,C31*0.3+80000,IF(C31&lt;=6600000,C31*0.2+440000,IF(C31&lt;=8500000,C31*0.1+1100000,1950000))))))-C31*0.145-480000)</f>
        <v>10121008.9591148</v>
      </c>
      <c r="J31" s="24" t="n">
        <f aca="false">IF(I31&lt;=1950000,I31*0.05,IF(I31&lt;=3300000,I31*0.1-97500,IF(I31&lt;=6950000,I31*0.2-427500,IF(I31&lt;=9000000,I31*0.23-636000,IF(I31&lt;=18000000,I31*0.33-1536000,I31*0.4-2796000)))))</f>
        <v>1803932.9565079</v>
      </c>
      <c r="K31" s="24" t="n">
        <f aca="false">J31+MIN(97500,I31*0.05)</f>
        <v>1901432.9565079</v>
      </c>
      <c r="L31" s="24" t="n">
        <f aca="false">MIN(H31,K31)</f>
        <v>0</v>
      </c>
      <c r="M31" s="24" t="n">
        <f aca="false">12*入力!$B$18*(1+入力!$B$19)^(A31-1)</f>
        <v>342000</v>
      </c>
      <c r="N31" s="24" t="n">
        <f aca="false">12*IF(A31&gt;=入力!$B$23,入力!$C$23,IF(A31&gt;=入力!$B$22,入力!$C$22,IF(A31&gt;=入力!$B$21,入力!$C$21,入力!$B$20)))</f>
        <v>448800</v>
      </c>
      <c r="O31" s="24" t="n">
        <f aca="false">12*(入力!$B$24+入力!$B$25)</f>
        <v>17160</v>
      </c>
      <c r="P31" s="24" t="n">
        <f aca="false">IF(A31&lt;=入力!$B$30,入力!$B$28,入力!$B$29)</f>
        <v>300000</v>
      </c>
      <c r="Q31" s="24" t="n">
        <f aca="false">E31+M31+N31+O31+P31-L31</f>
        <v>4035551.5281813</v>
      </c>
      <c r="R31" s="24" t="n">
        <f aca="false">Q31/12</f>
        <v>336295.960681775</v>
      </c>
      <c r="S31" s="28" t="n">
        <f aca="false">IF(C31=0,0,E31/C31)</f>
        <v>0.199433429196718</v>
      </c>
      <c r="T31" s="28" t="n">
        <f aca="false">IF(D31=0,0,Q31/D31)</f>
        <v>0.36654652682609</v>
      </c>
      <c r="U31" s="24" t="n">
        <f aca="false">SUM($Q$2:Q31)</f>
        <v>112639799.162785</v>
      </c>
    </row>
    <row r="32" customFormat="false" ht="15" hidden="false" customHeight="false" outlineLevel="0" collapsed="false">
      <c r="A32" s="22" t="n">
        <v>31</v>
      </c>
      <c r="B32" s="22" t="n">
        <f aca="false">入力!$B$8+A32-1</f>
        <v>2056</v>
      </c>
      <c r="C32" s="27" t="n">
        <f aca="false">入力!$B$38*(1+入力!$B$39)^(A32-1)</f>
        <v>14826338.068662</v>
      </c>
      <c r="D32" s="24" t="n">
        <f aca="false">C32*入力!$B$40</f>
        <v>11119753.5514965</v>
      </c>
      <c r="E32" s="24" t="n">
        <f aca="false">SUMIF(月次返済!$B$2:$B$421,A32,月次返済!$E$2:$E$421)</f>
        <v>2927591.5281813</v>
      </c>
      <c r="F32" s="24" t="n">
        <f aca="false">SUMIF(月次返済!$B$2:$B$421,A32,月次返済!$F$2:$F$421)</f>
        <v>253956.764351906</v>
      </c>
      <c r="G32" s="24" t="n">
        <f aca="false">INDEX(月次返済!$H$2:$H$421,A32*12)</f>
        <v>11245197.9872281</v>
      </c>
      <c r="H32" s="24" t="n">
        <f aca="false">IF(A32&lt;=入力!$B$34,MIN(G32,入力!$B$35)*入力!$B$33,0)</f>
        <v>0</v>
      </c>
      <c r="I32" s="24" t="n">
        <f aca="false">MAX(0,C32-MIN(1950000,MAX(550000,IF(C32&lt;=1800000,C32*0.4-100000,IF(C32&lt;=3600000,C32*0.3+80000,IF(C32&lt;=6600000,C32*0.2+440000,IF(C32&lt;=8500000,C32*0.1+1100000,1950000))))))-C32*0.145-480000)</f>
        <v>10246519.048706</v>
      </c>
      <c r="J32" s="24" t="n">
        <f aca="false">IF(I32&lt;=1950000,I32*0.05,IF(I32&lt;=3300000,I32*0.1-97500,IF(I32&lt;=6950000,I32*0.2-427500,IF(I32&lt;=9000000,I32*0.23-636000,IF(I32&lt;=18000000,I32*0.33-1536000,I32*0.4-2796000)))))</f>
        <v>1845351.28607297</v>
      </c>
      <c r="K32" s="24" t="n">
        <f aca="false">J32+MIN(97500,I32*0.05)</f>
        <v>1942851.28607297</v>
      </c>
      <c r="L32" s="24" t="n">
        <f aca="false">MIN(H32,K32)</f>
        <v>0</v>
      </c>
      <c r="M32" s="24" t="n">
        <f aca="false">12*入力!$B$18*(1+入力!$B$19)^(A32-1)</f>
        <v>342000</v>
      </c>
      <c r="N32" s="24" t="n">
        <f aca="false">12*IF(A32&gt;=入力!$B$23,入力!$C$23,IF(A32&gt;=入力!$B$22,入力!$C$22,IF(A32&gt;=入力!$B$21,入力!$C$21,入力!$B$20)))</f>
        <v>448800</v>
      </c>
      <c r="O32" s="24" t="n">
        <f aca="false">12*(入力!$B$24+入力!$B$25)</f>
        <v>17160</v>
      </c>
      <c r="P32" s="24" t="n">
        <f aca="false">IF(A32&lt;=入力!$B$30,入力!$B$28,入力!$B$29)</f>
        <v>300000</v>
      </c>
      <c r="Q32" s="24" t="n">
        <f aca="false">E32+M32+N32+O32+P32-L32</f>
        <v>4035551.5281813</v>
      </c>
      <c r="R32" s="24" t="n">
        <f aca="false">Q32/12</f>
        <v>336295.960681775</v>
      </c>
      <c r="S32" s="28" t="n">
        <f aca="false">IF(C32=0,0,E32/C32)</f>
        <v>0.19745884078883</v>
      </c>
      <c r="T32" s="28" t="n">
        <f aca="false">IF(D32=0,0,Q32/D32)</f>
        <v>0.362917353293158</v>
      </c>
      <c r="U32" s="24" t="n">
        <f aca="false">SUM($Q$2:Q32)</f>
        <v>116675350.690966</v>
      </c>
    </row>
    <row r="33" customFormat="false" ht="15" hidden="false" customHeight="false" outlineLevel="0" collapsed="false">
      <c r="A33" s="22" t="n">
        <v>32</v>
      </c>
      <c r="B33" s="22" t="n">
        <f aca="false">入力!$B$8+A33-1</f>
        <v>2057</v>
      </c>
      <c r="C33" s="27" t="n">
        <f aca="false">入力!$B$38*(1+入力!$B$39)^(A33-1)</f>
        <v>14974601.4493486</v>
      </c>
      <c r="D33" s="24" t="n">
        <f aca="false">C33*入力!$B$40</f>
        <v>11230951.0870114</v>
      </c>
      <c r="E33" s="24" t="n">
        <f aca="false">SUMIF(月次返済!$B$2:$B$421,A33,月次返済!$E$2:$E$421)</f>
        <v>2927591.5281813</v>
      </c>
      <c r="F33" s="24" t="n">
        <f aca="false">SUMIF(月次返済!$B$2:$B$421,A33,月次返済!$F$2:$F$421)</f>
        <v>199991.169316347</v>
      </c>
      <c r="G33" s="24" t="n">
        <f aca="false">INDEX(月次返済!$H$2:$H$421,A33*12)</f>
        <v>8517597.62836313</v>
      </c>
      <c r="H33" s="24" t="n">
        <f aca="false">IF(A33&lt;=入力!$B$34,MIN(G33,入力!$B$35)*入力!$B$33,0)</f>
        <v>0</v>
      </c>
      <c r="I33" s="24" t="n">
        <f aca="false">MAX(0,C33-MIN(1950000,MAX(550000,IF(C33&lt;=1800000,C33*0.4-100000,IF(C33&lt;=3600000,C33*0.3+80000,IF(C33&lt;=6600000,C33*0.2+440000,IF(C33&lt;=8500000,C33*0.1+1100000,1950000))))))-C33*0.145-480000)</f>
        <v>10373284.239193</v>
      </c>
      <c r="J33" s="24" t="n">
        <f aca="false">IF(I33&lt;=1950000,I33*0.05,IF(I33&lt;=3300000,I33*0.1-97500,IF(I33&lt;=6950000,I33*0.2-427500,IF(I33&lt;=9000000,I33*0.23-636000,IF(I33&lt;=18000000,I33*0.33-1536000,I33*0.4-2796000)))))</f>
        <v>1887183.7989337</v>
      </c>
      <c r="K33" s="24" t="n">
        <f aca="false">J33+MIN(97500,I33*0.05)</f>
        <v>1984683.7989337</v>
      </c>
      <c r="L33" s="24" t="n">
        <f aca="false">MIN(H33,K33)</f>
        <v>0</v>
      </c>
      <c r="M33" s="24" t="n">
        <f aca="false">12*入力!$B$18*(1+入力!$B$19)^(A33-1)</f>
        <v>342000</v>
      </c>
      <c r="N33" s="24" t="n">
        <f aca="false">12*IF(A33&gt;=入力!$B$23,入力!$C$23,IF(A33&gt;=入力!$B$22,入力!$C$22,IF(A33&gt;=入力!$B$21,入力!$C$21,入力!$B$20)))</f>
        <v>448800</v>
      </c>
      <c r="O33" s="24" t="n">
        <f aca="false">12*(入力!$B$24+入力!$B$25)</f>
        <v>17160</v>
      </c>
      <c r="P33" s="24" t="n">
        <f aca="false">IF(A33&lt;=入力!$B$30,入力!$B$28,入力!$B$29)</f>
        <v>300000</v>
      </c>
      <c r="Q33" s="24" t="n">
        <f aca="false">E33+M33+N33+O33+P33-L33</f>
        <v>4035551.5281813</v>
      </c>
      <c r="R33" s="24" t="n">
        <f aca="false">Q33/12</f>
        <v>336295.960681775</v>
      </c>
      <c r="S33" s="28" t="n">
        <f aca="false">IF(C33=0,0,E33/C33)</f>
        <v>0.195503802761218</v>
      </c>
      <c r="T33" s="28" t="n">
        <f aca="false">IF(D33=0,0,Q33/D33)</f>
        <v>0.359324112171444</v>
      </c>
      <c r="U33" s="24" t="n">
        <f aca="false">SUM($Q$2:Q33)</f>
        <v>120710902.219147</v>
      </c>
    </row>
    <row r="34" customFormat="false" ht="15" hidden="false" customHeight="false" outlineLevel="0" collapsed="false">
      <c r="A34" s="22" t="n">
        <v>33</v>
      </c>
      <c r="B34" s="22" t="n">
        <f aca="false">入力!$B$8+A34-1</f>
        <v>2058</v>
      </c>
      <c r="C34" s="27" t="n">
        <f aca="false">入力!$B$38*(1+入力!$B$39)^(A34-1)</f>
        <v>15124347.4638421</v>
      </c>
      <c r="D34" s="24" t="n">
        <f aca="false">C34*入力!$B$40</f>
        <v>11343260.5978816</v>
      </c>
      <c r="E34" s="24" t="n">
        <f aca="false">SUMIF(月次返済!$B$2:$B$421,A34,月次返済!$E$2:$E$421)</f>
        <v>2927591.5281813</v>
      </c>
      <c r="F34" s="24" t="n">
        <f aca="false">SUMIF(月次返済!$B$2:$B$421,A34,月次返済!$F$2:$F$421)</f>
        <v>144936.313516027</v>
      </c>
      <c r="G34" s="24" t="n">
        <f aca="false">INDEX(月次返済!$H$2:$H$421,A34*12)</f>
        <v>5734942.41369786</v>
      </c>
      <c r="H34" s="24" t="n">
        <f aca="false">IF(A34&lt;=入力!$B$34,MIN(G34,入力!$B$35)*入力!$B$33,0)</f>
        <v>0</v>
      </c>
      <c r="I34" s="24" t="n">
        <f aca="false">MAX(0,C34-MIN(1950000,MAX(550000,IF(C34&lt;=1800000,C34*0.4-100000,IF(C34&lt;=3600000,C34*0.3+80000,IF(C34&lt;=6600000,C34*0.2+440000,IF(C34&lt;=8500000,C34*0.1+1100000,1950000))))))-C34*0.145-480000)</f>
        <v>10501317.081585</v>
      </c>
      <c r="J34" s="24" t="n">
        <f aca="false">IF(I34&lt;=1950000,I34*0.05,IF(I34&lt;=3300000,I34*0.1-97500,IF(I34&lt;=6950000,I34*0.2-427500,IF(I34&lt;=9000000,I34*0.23-636000,IF(I34&lt;=18000000,I34*0.33-1536000,I34*0.4-2796000)))))</f>
        <v>1929434.63692304</v>
      </c>
      <c r="K34" s="24" t="n">
        <f aca="false">J34+MIN(97500,I34*0.05)</f>
        <v>2026934.63692304</v>
      </c>
      <c r="L34" s="24" t="n">
        <f aca="false">MIN(H34,K34)</f>
        <v>0</v>
      </c>
      <c r="M34" s="24" t="n">
        <f aca="false">12*入力!$B$18*(1+入力!$B$19)^(A34-1)</f>
        <v>342000</v>
      </c>
      <c r="N34" s="24" t="n">
        <f aca="false">12*IF(A34&gt;=入力!$B$23,入力!$C$23,IF(A34&gt;=入力!$B$22,入力!$C$22,IF(A34&gt;=入力!$B$21,入力!$C$21,入力!$B$20)))</f>
        <v>448800</v>
      </c>
      <c r="O34" s="24" t="n">
        <f aca="false">12*(入力!$B$24+入力!$B$25)</f>
        <v>17160</v>
      </c>
      <c r="P34" s="24" t="n">
        <f aca="false">IF(A34&lt;=入力!$B$30,入力!$B$28,入力!$B$29)</f>
        <v>300000</v>
      </c>
      <c r="Q34" s="24" t="n">
        <f aca="false">E34+M34+N34+O34+P34-L34</f>
        <v>4035551.5281813</v>
      </c>
      <c r="R34" s="24" t="n">
        <f aca="false">Q34/12</f>
        <v>336295.960681775</v>
      </c>
      <c r="S34" s="28" t="n">
        <f aca="false">IF(C34=0,0,E34/C34)</f>
        <v>0.19356812154576</v>
      </c>
      <c r="T34" s="28" t="n">
        <f aca="false">IF(D34=0,0,Q34/D34)</f>
        <v>0.355766447694499</v>
      </c>
      <c r="U34" s="24" t="n">
        <f aca="false">SUM($Q$2:Q34)</f>
        <v>124746453.747328</v>
      </c>
    </row>
    <row r="35" customFormat="false" ht="15" hidden="false" customHeight="false" outlineLevel="0" collapsed="false">
      <c r="A35" s="22" t="n">
        <v>34</v>
      </c>
      <c r="B35" s="22" t="n">
        <f aca="false">入力!$B$8+A35-1</f>
        <v>2059</v>
      </c>
      <c r="C35" s="27" t="n">
        <f aca="false">入力!$B$38*(1+入力!$B$39)^(A35-1)</f>
        <v>15275590.9384805</v>
      </c>
      <c r="D35" s="24" t="n">
        <f aca="false">C35*入力!$B$40</f>
        <v>11456693.2038604</v>
      </c>
      <c r="E35" s="24" t="n">
        <f aca="false">SUMIF(月次返済!$B$2:$B$421,A35,月次返済!$E$2:$E$421)</f>
        <v>2927591.5281813</v>
      </c>
      <c r="F35" s="24" t="n">
        <f aca="false">SUMIF(月次返済!$B$2:$B$421,A35,月次返済!$F$2:$F$421)</f>
        <v>88770.2109242384</v>
      </c>
      <c r="G35" s="24" t="n">
        <f aca="false">INDEX(月次返済!$H$2:$H$421,A35*12)</f>
        <v>2896121.0964408</v>
      </c>
      <c r="H35" s="24" t="n">
        <f aca="false">IF(A35&lt;=入力!$B$34,MIN(G35,入力!$B$35)*入力!$B$33,0)</f>
        <v>0</v>
      </c>
      <c r="I35" s="24" t="n">
        <f aca="false">MAX(0,C35-MIN(1950000,MAX(550000,IF(C35&lt;=1800000,C35*0.4-100000,IF(C35&lt;=3600000,C35*0.3+80000,IF(C35&lt;=6600000,C35*0.2+440000,IF(C35&lt;=8500000,C35*0.1+1100000,1950000))))))-C35*0.145-480000)</f>
        <v>10630630.2524008</v>
      </c>
      <c r="J35" s="24" t="n">
        <f aca="false">IF(I35&lt;=1950000,I35*0.05,IF(I35&lt;=3300000,I35*0.1-97500,IF(I35&lt;=6950000,I35*0.2-427500,IF(I35&lt;=9000000,I35*0.23-636000,IF(I35&lt;=18000000,I35*0.33-1536000,I35*0.4-2796000)))))</f>
        <v>1972107.98329227</v>
      </c>
      <c r="K35" s="24" t="n">
        <f aca="false">J35+MIN(97500,I35*0.05)</f>
        <v>2069607.98329227</v>
      </c>
      <c r="L35" s="24" t="n">
        <f aca="false">MIN(H35,K35)</f>
        <v>0</v>
      </c>
      <c r="M35" s="24" t="n">
        <f aca="false">12*入力!$B$18*(1+入力!$B$19)^(A35-1)</f>
        <v>342000</v>
      </c>
      <c r="N35" s="24" t="n">
        <f aca="false">12*IF(A35&gt;=入力!$B$23,入力!$C$23,IF(A35&gt;=入力!$B$22,入力!$C$22,IF(A35&gt;=入力!$B$21,入力!$C$21,入力!$B$20)))</f>
        <v>448800</v>
      </c>
      <c r="O35" s="24" t="n">
        <f aca="false">12*(入力!$B$24+入力!$B$25)</f>
        <v>17160</v>
      </c>
      <c r="P35" s="24" t="n">
        <f aca="false">IF(A35&lt;=入力!$B$30,入力!$B$28,入力!$B$29)</f>
        <v>300000</v>
      </c>
      <c r="Q35" s="24" t="n">
        <f aca="false">E35+M35+N35+O35+P35-L35</f>
        <v>4035551.5281813</v>
      </c>
      <c r="R35" s="24" t="n">
        <f aca="false">Q35/12</f>
        <v>336295.960681775</v>
      </c>
      <c r="S35" s="28" t="n">
        <f aca="false">IF(C35=0,0,E35/C35)</f>
        <v>0.191651605490852</v>
      </c>
      <c r="T35" s="28" t="n">
        <f aca="false">IF(D35=0,0,Q35/D35)</f>
        <v>0.352244007618316</v>
      </c>
      <c r="U35" s="24" t="n">
        <f aca="false">SUM($Q$2:Q35)</f>
        <v>128782005.27551</v>
      </c>
    </row>
    <row r="36" customFormat="false" ht="15" hidden="false" customHeight="false" outlineLevel="0" collapsed="false">
      <c r="A36" s="22" t="n">
        <v>35</v>
      </c>
      <c r="B36" s="22" t="n">
        <f aca="false">入力!$B$8+A36-1</f>
        <v>2060</v>
      </c>
      <c r="C36" s="27" t="n">
        <f aca="false">入力!$B$38*(1+入力!$B$39)^(A36-1)</f>
        <v>15428346.8478653</v>
      </c>
      <c r="D36" s="24" t="n">
        <f aca="false">C36*入力!$B$40</f>
        <v>11571260.135899</v>
      </c>
      <c r="E36" s="24" t="n">
        <f aca="false">SUMIF(月次返済!$B$2:$B$421,A36,月次返済!$E$2:$E$421)</f>
        <v>2927591.5281813</v>
      </c>
      <c r="F36" s="24" t="n">
        <f aca="false">SUMIF(月次返済!$B$2:$B$421,A36,月次返済!$F$2:$F$421)</f>
        <v>31470.4317404939</v>
      </c>
      <c r="G36" s="24" t="n">
        <f aca="false">INDEX(月次返済!$H$2:$H$421,A36*12)</f>
        <v>0</v>
      </c>
      <c r="H36" s="24" t="n">
        <f aca="false">IF(A36&lt;=入力!$B$34,MIN(G36,入力!$B$35)*入力!$B$33,0)</f>
        <v>0</v>
      </c>
      <c r="I36" s="24" t="n">
        <f aca="false">MAX(0,C36-MIN(1950000,MAX(550000,IF(C36&lt;=1800000,C36*0.4-100000,IF(C36&lt;=3600000,C36*0.3+80000,IF(C36&lt;=6600000,C36*0.2+440000,IF(C36&lt;=8500000,C36*0.1+1100000,1950000))))))-C36*0.145-480000)</f>
        <v>10761236.5549248</v>
      </c>
      <c r="J36" s="24" t="n">
        <f aca="false">IF(I36&lt;=1950000,I36*0.05,IF(I36&lt;=3300000,I36*0.1-97500,IF(I36&lt;=6950000,I36*0.2-427500,IF(I36&lt;=9000000,I36*0.23-636000,IF(I36&lt;=18000000,I36*0.33-1536000,I36*0.4-2796000)))))</f>
        <v>2015208.06312519</v>
      </c>
      <c r="K36" s="24" t="n">
        <f aca="false">J36+MIN(97500,I36*0.05)</f>
        <v>2112708.06312519</v>
      </c>
      <c r="L36" s="24" t="n">
        <f aca="false">MIN(H36,K36)</f>
        <v>0</v>
      </c>
      <c r="M36" s="24" t="n">
        <f aca="false">12*入力!$B$18*(1+入力!$B$19)^(A36-1)</f>
        <v>342000</v>
      </c>
      <c r="N36" s="24" t="n">
        <f aca="false">12*IF(A36&gt;=入力!$B$23,入力!$C$23,IF(A36&gt;=入力!$B$22,入力!$C$22,IF(A36&gt;=入力!$B$21,入力!$C$21,入力!$B$20)))</f>
        <v>448800</v>
      </c>
      <c r="O36" s="24" t="n">
        <f aca="false">12*(入力!$B$24+入力!$B$25)</f>
        <v>17160</v>
      </c>
      <c r="P36" s="24" t="n">
        <f aca="false">IF(A36&lt;=入力!$B$30,入力!$B$28,入力!$B$29)</f>
        <v>300000</v>
      </c>
      <c r="Q36" s="24" t="n">
        <f aca="false">E36+M36+N36+O36+P36-L36</f>
        <v>4035551.5281813</v>
      </c>
      <c r="R36" s="24" t="n">
        <f aca="false">Q36/12</f>
        <v>336295.960681775</v>
      </c>
      <c r="S36" s="28" t="n">
        <f aca="false">IF(C36=0,0,E36/C36)</f>
        <v>0.189754064842428</v>
      </c>
      <c r="T36" s="28" t="n">
        <f aca="false">IF(D36=0,0,Q36/D36)</f>
        <v>0.348756443186451</v>
      </c>
      <c r="U36" s="24" t="n">
        <f aca="false">SUM($Q$2:Q36)</f>
        <v>132817556.803691</v>
      </c>
    </row>
    <row r="37" customFormat="false" ht="15" hidden="false" customHeight="false" outlineLevel="0" collapsed="false">
      <c r="A37" s="29" t="s">
        <v>117</v>
      </c>
      <c r="E37" s="30" t="n">
        <f aca="false">SUM(E2:E36)</f>
        <v>99873956.803691</v>
      </c>
      <c r="F37" s="30" t="n">
        <f aca="false">SUM(F2:F36)</f>
        <v>23873956.8036911</v>
      </c>
      <c r="L37" s="30" t="n">
        <f aca="false">SUM(L2:L36)</f>
        <v>3185000</v>
      </c>
      <c r="M37" s="30" t="n">
        <f aca="false">SUM(M2:M36)</f>
        <v>11970000</v>
      </c>
      <c r="N37" s="30" t="n">
        <f aca="false">SUM(N2:N36)</f>
        <v>13458000</v>
      </c>
      <c r="O37" s="30" t="n">
        <f aca="false">SUM(O2:O36)</f>
        <v>600600</v>
      </c>
      <c r="P37" s="30" t="n">
        <f aca="false">SUM(P2:P36)</f>
        <v>10100000</v>
      </c>
      <c r="Q37" s="30" t="n">
        <f aca="false">SUM(Q2:Q36)</f>
        <v>132817556.803691</v>
      </c>
    </row>
    <row r="38" customFormat="false" ht="15" hidden="false" customHeight="false" outlineLevel="0" collapsed="false">
      <c r="A38" s="7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7"/>
  </cols>
  <sheetData>
    <row r="1" customFormat="false" ht="17.3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31" t="s">
        <v>120</v>
      </c>
    </row>
    <row r="4" customFormat="false" ht="15" hidden="false" customHeight="false" outlineLevel="0" collapsed="false">
      <c r="A4" s="18" t="s">
        <v>87</v>
      </c>
      <c r="B4" s="32" t="n">
        <f aca="false">初期費用!B15</f>
        <v>5159300</v>
      </c>
    </row>
    <row r="5" customFormat="false" ht="15" hidden="false" customHeight="false" outlineLevel="0" collapsed="false">
      <c r="A5" s="5" t="s">
        <v>121</v>
      </c>
      <c r="B5" s="33" t="n">
        <f aca="false">初期費用!B14</f>
        <v>5159300</v>
      </c>
    </row>
    <row r="7" customFormat="false" ht="15" hidden="false" customHeight="false" outlineLevel="0" collapsed="false">
      <c r="A7" s="31" t="s">
        <v>122</v>
      </c>
    </row>
    <row r="8" customFormat="false" ht="15" hidden="false" customHeight="false" outlineLevel="0" collapsed="false">
      <c r="A8" s="5" t="s">
        <v>123</v>
      </c>
      <c r="B8" s="33" t="n">
        <f aca="false">月次返済!E2</f>
        <v>214537.131191881</v>
      </c>
    </row>
    <row r="9" customFormat="false" ht="15" hidden="false" customHeight="false" outlineLevel="0" collapsed="false">
      <c r="A9" s="5" t="s">
        <v>124</v>
      </c>
      <c r="B9" s="33" t="n">
        <f aca="false">入力!B18+入力!B20+入力!B24+入力!B25</f>
        <v>46530</v>
      </c>
    </row>
    <row r="10" customFormat="false" ht="15" hidden="false" customHeight="false" outlineLevel="0" collapsed="false">
      <c r="A10" s="5" t="s">
        <v>125</v>
      </c>
      <c r="B10" s="33" t="n">
        <f aca="false">入力!B28/12</f>
        <v>18333.3333333333</v>
      </c>
    </row>
    <row r="11" customFormat="false" ht="15" hidden="false" customHeight="false" outlineLevel="0" collapsed="false">
      <c r="A11" s="18" t="s">
        <v>126</v>
      </c>
      <c r="B11" s="32" t="n">
        <f aca="false">B8+B9+B10</f>
        <v>279400.464525214</v>
      </c>
    </row>
    <row r="13" customFormat="false" ht="15" hidden="false" customHeight="false" outlineLevel="0" collapsed="false">
      <c r="A13" s="31" t="s">
        <v>127</v>
      </c>
    </row>
    <row r="14" customFormat="false" ht="15" hidden="false" customHeight="false" outlineLevel="0" collapsed="false">
      <c r="A14" s="5" t="s">
        <v>128</v>
      </c>
      <c r="B14" s="33" t="n">
        <f aca="false">年次シミュレーション!E37</f>
        <v>99873956.803691</v>
      </c>
    </row>
    <row r="15" customFormat="false" ht="15" hidden="false" customHeight="false" outlineLevel="0" collapsed="false">
      <c r="A15" s="5" t="s">
        <v>129</v>
      </c>
      <c r="B15" s="33" t="n">
        <f aca="false">年次シミュレーション!F37</f>
        <v>23873956.8036911</v>
      </c>
    </row>
    <row r="16" customFormat="false" ht="15" hidden="false" customHeight="false" outlineLevel="0" collapsed="false">
      <c r="A16" s="5" t="s">
        <v>130</v>
      </c>
      <c r="B16" s="33" t="n">
        <f aca="false">年次シミュレーション!L37</f>
        <v>3185000</v>
      </c>
    </row>
    <row r="17" customFormat="false" ht="15" hidden="false" customHeight="false" outlineLevel="0" collapsed="false">
      <c r="A17" s="5" t="s">
        <v>131</v>
      </c>
      <c r="B17" s="33" t="n">
        <f aca="false">年次シミュレーション!M37+年次シミュレーション!N37+年次シミュレーション!O37</f>
        <v>26028600</v>
      </c>
    </row>
    <row r="18" customFormat="false" ht="15" hidden="false" customHeight="false" outlineLevel="0" collapsed="false">
      <c r="A18" s="5" t="s">
        <v>132</v>
      </c>
      <c r="B18" s="33" t="n">
        <f aca="false">年次シミュレーション!P37</f>
        <v>10100000</v>
      </c>
    </row>
    <row r="19" customFormat="false" ht="15" hidden="false" customHeight="false" outlineLevel="0" collapsed="false">
      <c r="A19" s="29" t="s">
        <v>133</v>
      </c>
      <c r="B19" s="34" t="n">
        <f aca="false">年次シミュレーション!Q37</f>
        <v>132817556.803691</v>
      </c>
    </row>
    <row r="20" customFormat="false" ht="15" hidden="false" customHeight="false" outlineLevel="0" collapsed="false">
      <c r="A20" s="18" t="s">
        <v>134</v>
      </c>
      <c r="B20" s="32" t="n">
        <f aca="false">B4+B19</f>
        <v>137976856.803691</v>
      </c>
    </row>
    <row r="22" customFormat="false" ht="15" hidden="false" customHeight="false" outlineLevel="0" collapsed="false">
      <c r="A22" s="31" t="s">
        <v>135</v>
      </c>
    </row>
    <row r="23" customFormat="false" ht="15" hidden="false" customHeight="false" outlineLevel="0" collapsed="false">
      <c r="A23" s="5" t="s">
        <v>136</v>
      </c>
      <c r="B23" s="35" t="n">
        <f aca="false">年次シミュレーション!E2/年次シミュレーション!C2</f>
        <v>0.234040506754779</v>
      </c>
    </row>
    <row r="24" customFormat="false" ht="15" hidden="false" customHeight="false" outlineLevel="0" collapsed="false">
      <c r="A24" s="18" t="s">
        <v>137</v>
      </c>
      <c r="B24" s="36" t="n">
        <f aca="false">年次シミュレーション!Q2/年次シミュレーション!D2</f>
        <v>0.376703705976069</v>
      </c>
    </row>
    <row r="26" customFormat="false" ht="15" hidden="false" customHeight="false" outlineLevel="0" collapsed="false">
      <c r="A26" s="31" t="s">
        <v>138</v>
      </c>
    </row>
    <row r="27" customFormat="false" ht="15" hidden="false" customHeight="false" outlineLevel="0" collapsed="false">
      <c r="A27" s="18" t="s">
        <v>139</v>
      </c>
      <c r="B27" s="18" t="s">
        <v>93</v>
      </c>
      <c r="C27" s="18" t="s">
        <v>140</v>
      </c>
    </row>
    <row r="28" customFormat="false" ht="15" hidden="false" customHeight="false" outlineLevel="0" collapsed="false">
      <c r="A28" s="17" t="n">
        <v>0.01</v>
      </c>
      <c r="B28" s="37" t="n">
        <f aca="false">-PMT(A28/12,入力!$B$7*12,入力!$B$6)</f>
        <v>214537.131191881</v>
      </c>
      <c r="C28" s="37" t="n">
        <f aca="false">B28*入力!$B$7*12</f>
        <v>90105595.1005901</v>
      </c>
    </row>
    <row r="29" customFormat="false" ht="15" hidden="false" customHeight="false" outlineLevel="0" collapsed="false">
      <c r="A29" s="17" t="n">
        <v>0.015</v>
      </c>
      <c r="B29" s="37" t="n">
        <f aca="false">-PMT(A29/12,入力!$B$7*12,入力!$B$6)</f>
        <v>232700.174175415</v>
      </c>
      <c r="C29" s="37" t="n">
        <f aca="false">B29*入力!$B$7*12</f>
        <v>97734073.1536742</v>
      </c>
    </row>
    <row r="30" customFormat="false" ht="15" hidden="false" customHeight="false" outlineLevel="0" collapsed="false">
      <c r="A30" s="17" t="n">
        <v>0.02</v>
      </c>
      <c r="B30" s="37" t="n">
        <f aca="false">-PMT(A30/12,入力!$B$7*12,入力!$B$6)</f>
        <v>251759.70497234</v>
      </c>
      <c r="C30" s="37" t="n">
        <f aca="false">B30*入力!$B$7*12</f>
        <v>105739076.088383</v>
      </c>
    </row>
    <row r="32" customFormat="false" ht="15" hidden="false" customHeight="false" outlineLevel="0" collapsed="false">
      <c r="A32" s="7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2026-08-23T11:43:08Z</dcterms:created>
  <dc:creator>openpyxl</dc:creator>
  <dc:description/>
  <dc:language>en-US</dc:language>
  <cp:lastModifiedBy/>
  <dcterms:modified xsi:type="dcterms:W3CDTF">2026-08-23T11:43:08Z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